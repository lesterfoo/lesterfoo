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myoffice.accenture.com/personal/lester_foo_accenture_com/Documents/Desktop/"/>
    </mc:Choice>
  </mc:AlternateContent>
  <xr:revisionPtr revIDLastSave="0" documentId="8_{DE913F4C-1494-482C-883A-FEBB19C7573D}" xr6:coauthVersionLast="47" xr6:coauthVersionMax="47" xr10:uidLastSave="{00000000-0000-0000-0000-000000000000}"/>
  <bookViews>
    <workbookView xWindow="-108" yWindow="-108" windowWidth="23256" windowHeight="12456" tabRatio="504" xr2:uid="{D79E124D-A6D6-4D12-95A5-09B808A9F98E}"/>
  </bookViews>
  <sheets>
    <sheet name="Opera Levers_Mapped with Assets" sheetId="22" r:id="rId1"/>
    <sheet name="Asset_MasterList-Revised" sheetId="23" r:id="rId2"/>
    <sheet name="Asset_MasterList" sheetId="16" state="hidden" r:id="rId3"/>
    <sheet name="Category" sheetId="18" state="hidden" r:id="rId4"/>
    <sheet name="Assets" sheetId="7" state="hidden" r:id="rId5"/>
    <sheet name="PCS_Details" sheetId="5" r:id="rId6"/>
    <sheet name="ADT_Details" sheetId="11" r:id="rId7"/>
    <sheet name="Link" sheetId="9" r:id="rId8"/>
    <sheet name="ADT Sheet2" sheetId="8" state="hidden" r:id="rId9"/>
    <sheet name="Master List Baseline" sheetId="10" state="hidden" r:id="rId10"/>
    <sheet name="JIRA_Options" sheetId="14" r:id="rId11"/>
    <sheet name="Asset_MasterList (2)" sheetId="17" state="hidden" r:id="rId12"/>
    <sheet name="Model" sheetId="1" state="hidden" r:id="rId13"/>
    <sheet name="MAPPING" sheetId="2" state="hidden" r:id="rId14"/>
    <sheet name="Conf" sheetId="4" state="hidden" r:id="rId15"/>
  </sheets>
  <definedNames>
    <definedName name="_xlnm._FilterDatabase" localSheetId="2" hidden="1">Asset_MasterList!#REF!</definedName>
    <definedName name="_xlnm._FilterDatabase" localSheetId="1" hidden="1">'Asset_MasterList-Revised'!$P$16:$P$16</definedName>
    <definedName name="_xlnm._FilterDatabase" localSheetId="12" hidden="1">Model!$A$17:$M$54</definedName>
    <definedName name="_xlnm._FilterDatabase" localSheetId="0" hidden="1">'Opera Levers_Mapped with Assets'!$A$2:$I$49</definedName>
    <definedName name="_xlnm._FilterDatabase" localSheetId="5" hidden="1">PCS_Details!$A$1:$L$48</definedName>
    <definedName name="_xlnm.Criteria" localSheetId="12">Model!$L$1:$L$2</definedName>
    <definedName name="Slicer_COST__Free___Subscription___One_off">#N/A</definedName>
    <definedName name="Slicer_COST__Free___Subscription___One_off1">#N/A</definedName>
    <definedName name="Slicer_Hosting__Cloud_On_prem">#N/A</definedName>
    <definedName name="Slicer_Hosting__Cloud_On_prem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 i="1" l="1"/>
  <c r="L12" i="1"/>
  <c r="L11" i="1"/>
  <c r="L10" i="1"/>
  <c r="L9" i="1"/>
  <c r="L8" i="1"/>
  <c r="L7" i="1"/>
  <c r="L6" i="1"/>
  <c r="L5" i="1"/>
  <c r="L4" i="1"/>
  <c r="L3" i="1"/>
  <c r="G53" i="1" l="1"/>
  <c r="H53" i="1" s="1" a="1"/>
  <c r="H53" i="1" s="1"/>
  <c r="G52" i="1"/>
  <c r="H52" i="1" s="1" a="1"/>
  <c r="H52" i="1" s="1"/>
  <c r="G51" i="1"/>
  <c r="H51" i="1" s="1" a="1"/>
  <c r="H51" i="1" s="1"/>
  <c r="G50" i="1"/>
  <c r="H50" i="1" s="1" a="1"/>
  <c r="H50" i="1" s="1"/>
  <c r="G49" i="1"/>
  <c r="H49" i="1" s="1" a="1"/>
  <c r="H49" i="1" s="1"/>
  <c r="G47" i="1"/>
  <c r="H47" i="1" s="1" a="1"/>
  <c r="H47" i="1" s="1"/>
  <c r="J47" i="1" s="1"/>
  <c r="G48" i="1"/>
  <c r="H48" i="1" s="1" a="1"/>
  <c r="H48" i="1" s="1"/>
  <c r="G45" i="1"/>
  <c r="H45" i="1" s="1" a="1"/>
  <c r="H45" i="1" s="1"/>
  <c r="J45" i="1" s="1"/>
  <c r="G46" i="1"/>
  <c r="H46" i="1" s="1" a="1"/>
  <c r="H46" i="1" s="1"/>
  <c r="G19" i="1"/>
  <c r="H19" i="1" s="1" a="1"/>
  <c r="H19" i="1" s="1"/>
  <c r="G22" i="1"/>
  <c r="H22" i="1" s="1" a="1"/>
  <c r="H22" i="1" s="1"/>
  <c r="G18" i="1"/>
  <c r="H18" i="1" s="1" a="1"/>
  <c r="H18" i="1" s="1"/>
  <c r="G21" i="1"/>
  <c r="H21" i="1" s="1" a="1"/>
  <c r="H21" i="1" s="1"/>
  <c r="G20" i="1"/>
  <c r="H20" i="1" s="1" a="1"/>
  <c r="H20" i="1" s="1"/>
  <c r="G24" i="1"/>
  <c r="H24" i="1" s="1" a="1"/>
  <c r="H24" i="1" s="1"/>
  <c r="G23" i="1"/>
  <c r="H23" i="1" s="1" a="1"/>
  <c r="H23" i="1" s="1"/>
  <c r="G42" i="1"/>
  <c r="H42" i="1" s="1" a="1"/>
  <c r="H42" i="1" s="1"/>
  <c r="G41" i="1"/>
  <c r="H41" i="1" s="1" a="1"/>
  <c r="H41" i="1" s="1"/>
  <c r="J41" i="1" s="1"/>
  <c r="G36" i="1"/>
  <c r="H36" i="1" s="1" a="1"/>
  <c r="H36" i="1" s="1"/>
  <c r="G37" i="1"/>
  <c r="H37" i="1" s="1" a="1"/>
  <c r="H37" i="1" s="1"/>
  <c r="G43" i="1"/>
  <c r="H43" i="1" s="1" a="1"/>
  <c r="H43" i="1" s="1"/>
  <c r="G44" i="1"/>
  <c r="H44" i="1" s="1" a="1"/>
  <c r="H44" i="1" s="1"/>
  <c r="G39" i="1"/>
  <c r="G40" i="1"/>
  <c r="H40" i="1" s="1" a="1"/>
  <c r="H40" i="1" s="1"/>
  <c r="G38" i="1"/>
  <c r="H38" i="1" s="1" a="1"/>
  <c r="H38" i="1" s="1"/>
  <c r="G28" i="1"/>
  <c r="H28" i="1" s="1" a="1"/>
  <c r="H28" i="1" s="1"/>
  <c r="J28" i="1" s="1"/>
  <c r="G34" i="1"/>
  <c r="H34" i="1" s="1" a="1"/>
  <c r="H34" i="1" s="1"/>
  <c r="G33" i="1"/>
  <c r="H33" i="1" s="1" a="1"/>
  <c r="H33" i="1" s="1"/>
  <c r="J33" i="1" s="1"/>
  <c r="G35" i="1"/>
  <c r="H35" i="1" s="1" a="1"/>
  <c r="H35" i="1" s="1"/>
  <c r="G32" i="1"/>
  <c r="H32" i="1" s="1" a="1"/>
  <c r="H32" i="1" s="1"/>
  <c r="G29" i="1"/>
  <c r="H29" i="1" s="1" a="1"/>
  <c r="H29" i="1" s="1"/>
  <c r="J29" i="1" s="1"/>
  <c r="G31" i="1"/>
  <c r="H31" i="1" s="1" a="1"/>
  <c r="H31" i="1" s="1"/>
  <c r="J31" i="1" s="1"/>
  <c r="G30" i="1"/>
  <c r="H30" i="1" s="1" a="1"/>
  <c r="H30" i="1" s="1"/>
  <c r="J30" i="1" s="1"/>
  <c r="G26" i="1"/>
  <c r="H26" i="1" s="1" a="1"/>
  <c r="H26" i="1" s="1"/>
  <c r="J26" i="1" s="1"/>
  <c r="G27" i="1"/>
  <c r="H27" i="1" s="1" a="1"/>
  <c r="H27" i="1" s="1"/>
  <c r="G25" i="1"/>
  <c r="H25" i="1" s="1" a="1"/>
  <c r="H25" i="1" s="1"/>
  <c r="J22" i="1" l="1"/>
  <c r="J36" i="1"/>
  <c r="J18" i="1"/>
  <c r="J52" i="1"/>
  <c r="H39" i="1" a="1"/>
  <c r="H39" i="1" s="1"/>
  <c r="J39" i="1" s="1"/>
  <c r="J27" i="1"/>
  <c r="J49" i="1"/>
  <c r="J38" i="1"/>
  <c r="J20" i="1"/>
  <c r="J40" i="1"/>
  <c r="J43" i="1"/>
  <c r="I42" i="1"/>
  <c r="J44" i="1"/>
  <c r="I24" i="1"/>
  <c r="I53" i="1"/>
  <c r="G54" i="1"/>
  <c r="I45" i="1"/>
  <c r="I31" i="1"/>
  <c r="I22" i="1"/>
  <c r="I27" i="1"/>
  <c r="I47" i="1"/>
  <c r="I29" i="1"/>
  <c r="I44" i="1"/>
  <c r="I49" i="1"/>
  <c r="I28" i="1"/>
  <c r="I20" i="1"/>
  <c r="I26" i="1"/>
  <c r="I30" i="1"/>
  <c r="I33" i="1"/>
  <c r="I36" i="1"/>
  <c r="I38" i="1"/>
  <c r="I40" i="1"/>
  <c r="I41" i="1"/>
  <c r="I43" i="1"/>
  <c r="I18" i="1"/>
  <c r="I52" i="1"/>
  <c r="J53" i="1"/>
  <c r="I39" i="1" l="1"/>
  <c r="J42" i="1"/>
  <c r="J24" i="1"/>
  <c r="J32" i="1"/>
  <c r="I32" i="1"/>
  <c r="J21" i="1"/>
  <c r="I21" i="1"/>
  <c r="J48" i="1"/>
  <c r="I48" i="1"/>
  <c r="J25" i="1"/>
  <c r="I25" i="1"/>
  <c r="J51" i="1"/>
  <c r="I51" i="1"/>
  <c r="J23" i="1"/>
  <c r="I23" i="1"/>
  <c r="J46" i="1"/>
  <c r="I46" i="1"/>
  <c r="J19" i="1"/>
  <c r="I19" i="1"/>
  <c r="J35" i="1"/>
  <c r="I35" i="1"/>
  <c r="J50" i="1"/>
  <c r="I50" i="1"/>
  <c r="I37" i="1"/>
  <c r="J37" i="1"/>
  <c r="J34" i="1"/>
  <c r="I34" i="1"/>
  <c r="I11" i="1"/>
  <c r="I13" i="1" l="1"/>
  <c r="J13" i="1" s="1"/>
  <c r="I12" i="1"/>
  <c r="J1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tc={4B094361-F98A-43AF-A539-60FE5CED9BB2}</author>
    <author>tc={0C691788-ED10-4349-995F-96F3D2D553DD}</author>
    <author>tc={793AB2F2-C97E-4A26-96A0-4C9F4C2C08DF}</author>
    <author>tc={CBA524CC-ABAA-4E3F-8031-75564EC4FC74}</author>
    <author>tc={AB087330-6522-4BE0-9AD1-A419B847619D}</author>
    <author>tc={222BAE0C-2C9F-4465-A923-766D8A87BF19}</author>
    <author>tc={8BB69731-0C5D-4453-AD34-6316E77A120B}</author>
    <author>tc={68FC6AD5-659A-4A39-9F21-06809A594C79}</author>
    <author>tc={C0E1DE0D-F53C-4790-B2C6-90758B1B0185}</author>
    <author>tc={FD11E873-40AD-4726-9431-571509DAABBD}</author>
    <author>tc={EC41E307-DC48-4A5A-9D71-EF57A73FE79B}</author>
    <author>tc={81860BCF-35E8-4489-AE85-3B89544F4EF9}</author>
    <author>tc={127F3338-BCBF-447D-8C25-3BF3B912BFA1}</author>
    <author>tc={D293F5C7-F63E-4A67-9D7A-C59B994B2E00}</author>
    <author>tc={BAFB4E81-B11E-4A1A-875C-46BE7FC83DC1}</author>
    <author>tc={1B0778CB-C0EF-4075-96E4-693C6F5487EF}</author>
    <author>tc={7A108FD6-DFAC-47DF-8525-B86A2117D5D4}</author>
    <author>tc={7A425456-3A59-4B77-A76B-72D394E095CE}</author>
    <author>tc={F975E199-D0F2-43EC-926C-346B05001156}</author>
    <author>tc={31F6692E-B5F6-4A76-B1A0-9516A564FD4F}</author>
    <author>tc={C7B91E7E-F137-499F-AD35-861170266C26}</author>
    <author>tc={7BEA721B-DF91-42F0-9293-B735A2836BB1}</author>
    <author>tc={FB853FDC-DD94-465C-9635-8235AB58FE0B}</author>
    <author>tc={CFDC2F35-86CE-4907-9688-5030B56F392B}</author>
    <author>tc={3EDDFD56-55B9-43F0-9F37-C0CDAB21782C}</author>
  </authors>
  <commentList>
    <comment ref="H2" authorId="0" shapeId="0" xr:uid="{4B094361-F98A-43AF-A539-60FE5CED9BB2}">
      <text>
        <t>[Threaded comment]
Your version of Excel allows you to read this threaded comment; however, any edits to it will get removed if the file is opened in a newer version of Excel. Learn more: https://go.microsoft.com/fwlink/?linkid=870924
Comment:
    should rename to mETS (instead of ADT)</t>
      </text>
    </comment>
    <comment ref="I2" authorId="1" shapeId="0" xr:uid="{0C691788-ED10-4349-995F-96F3D2D553DD}">
      <text>
        <t>[Threaded comment]
Your version of Excel allows you to read this threaded comment; however, any edits to it will get removed if the file is opened in a newer version of Excel. Learn more: https://go.microsoft.com/fwlink/?linkid=870924
Comment:
    this column is empty - should be removed</t>
      </text>
    </comment>
    <comment ref="G3" authorId="2" shapeId="0" xr:uid="{793AB2F2-C97E-4A26-96A0-4C9F4C2C08DF}">
      <text>
        <t>[Threaded comment]
Your version of Excel allows you to read this threaded comment; however, any edits to it will get removed if the file is opened in a newer version of Excel. Learn more: https://go.microsoft.com/fwlink/?linkid=870924
Comment:
    this lever is not related to assets/should remove
Reply:
    Ok, please remove
Reply:
    Please recommend the next level actions (like nominate a person to be accountable for the automation/opera agenda on the contract).
Reply:
    Knowledge development through exploring mywizard2.0</t>
      </text>
    </comment>
    <comment ref="D4" authorId="3" shapeId="0" xr:uid="{CBA524CC-ABAA-4E3F-8031-75564EC4FC74}">
      <text>
        <t>[Threaded comment]
Your version of Excel allows you to read this threaded comment; however, any edits to it will get removed if the file is opened in a newer version of Excel. Learn more: https://go.microsoft.com/fwlink/?linkid=870924
Comment:
    ATR is not very adequate for this lever</t>
      </text>
    </comment>
    <comment ref="G4" authorId="4" shapeId="0" xr:uid="{AB087330-6522-4BE0-9AD1-A419B847619D}">
      <text>
        <t>[Threaded comment]
Your version of Excel allows you to read this threaded comment; however, any edits to it will get removed if the file is opened in a newer version of Excel. Learn more: https://go.microsoft.com/fwlink/?linkid=870924
Comment:
    www.custover.com - as commercial tool can be suggested
Reply:
    Sure, please add
Reply:
    www.cutover.com</t>
      </text>
    </comment>
    <comment ref="D5" authorId="5" shapeId="0" xr:uid="{222BAE0C-2C9F-4465-A923-766D8A87BF19}">
      <text>
        <t>[Threaded comment]
Your version of Excel allows you to read this threaded comment; however, any edits to it will get removed if the file is opened in a newer version of Excel. Learn more: https://go.microsoft.com/fwlink/?linkid=870924
Comment:
    myWizard Governance is not AiOPS, and not analytics either</t>
      </text>
    </comment>
    <comment ref="E5" authorId="6" shapeId="0" xr:uid="{8BB69731-0C5D-4453-AD34-6316E77A120B}">
      <text>
        <t>[Threaded comment]
Your version of Excel allows you to read this threaded comment; however, any edits to it will get removed if the file is opened in a newer version of Excel. Learn more: https://go.microsoft.com/fwlink/?linkid=870924
Comment:
    Test Optimizer, Virtual Data Scientist</t>
      </text>
    </comment>
    <comment ref="F5" authorId="7" shapeId="0" xr:uid="{68FC6AD5-659A-4A39-9F21-06809A594C79}">
      <text>
        <t>[Threaded comment]
Your version of Excel allows you to read this threaded comment; however, any edits to it will get removed if the file is opened in a newer version of Excel. Learn more: https://go.microsoft.com/fwlink/?linkid=870924
Comment:
    This is ADT Tool</t>
      </text>
    </comment>
    <comment ref="H5" authorId="8" shapeId="0" xr:uid="{C0E1DE0D-F53C-4790-B2C6-90758B1B0185}">
      <text>
        <t>[Threaded comment]
Your version of Excel allows you to read this threaded comment; however, any edits to it will get removed if the file is opened in a newer version of Excel. Learn more: https://go.microsoft.com/fwlink/?linkid=870924
Comment:
    This is ADT Tool</t>
      </text>
    </comment>
    <comment ref="H8" authorId="9" shapeId="0" xr:uid="{FD11E873-40AD-4726-9431-571509DAABBD}">
      <text>
        <t>[Threaded comment]
Your version of Excel allows you to read this threaded comment; however, any edits to it will get removed if the file is opened in a newer version of Excel. Learn more: https://go.microsoft.com/fwlink/?linkid=870924
Comment:
    mETS PowerBI, MSPS SSRS reports, mETS Jira for PMO processes (Risk, Issue, deliverable, ...°</t>
      </text>
    </comment>
    <comment ref="E9" authorId="10" shapeId="0" xr:uid="{EC41E307-DC48-4A5A-9D71-EF57A73FE79B}">
      <text>
        <t>[Threaded comment]
Your version of Excel allows you to read this threaded comment; however, any edits to it will get removed if the file is opened in a newer version of Excel. Learn more: https://go.microsoft.com/fwlink/?linkid=870924
Comment:
    Release planner, Story Point Estimator (predictions)</t>
      </text>
    </comment>
    <comment ref="C10" authorId="11" shapeId="0" xr:uid="{81860BCF-35E8-4489-AE85-3B89544F4EF9}">
      <text>
        <t>[Threaded comment]
Your version of Excel allows you to read this threaded comment; however, any edits to it will get removed if the file is opened in a newer version of Excel. Learn more: https://go.microsoft.com/fwlink/?linkid=870924
Comment:
    this descritiption is not Risk Lever</t>
      </text>
    </comment>
    <comment ref="F13" authorId="12" shapeId="0" xr:uid="{127F3338-BCBF-447D-8C25-3BF3B912BFA1}">
      <text>
        <t>[Threaded comment]
Your version of Excel allows you to read this threaded comment; however, any edits to it will get removed if the file is opened in a newer version of Excel. Learn more: https://go.microsoft.com/fwlink/?linkid=870924
Comment:
    remove ADOP</t>
      </text>
    </comment>
    <comment ref="H13" authorId="13" shapeId="0" xr:uid="{D293F5C7-F63E-4A67-9D7A-C59B994B2E00}">
      <text>
        <t>[Threaded comment]
Your version of Excel allows you to read this threaded comment; however, any edits to it will get removed if the file is opened in a newer version of Excel. Learn more: https://go.microsoft.com/fwlink/?linkid=870924
Comment:
    BitBucket (part of mETS Jira solution)</t>
      </text>
    </comment>
    <comment ref="F14" authorId="14" shapeId="0" xr:uid="{BAFB4E81-B11E-4A1A-875C-46BE7FC83DC1}">
      <text>
        <t>[Threaded comment]
Your version of Excel allows you to read this threaded comment; however, any edits to it will get removed if the file is opened in a newer version of Excel. Learn more: https://go.microsoft.com/fwlink/?linkid=870924
Comment:
    remove ADOP</t>
      </text>
    </comment>
    <comment ref="H15" authorId="15" shapeId="0" xr:uid="{1B0778CB-C0EF-4075-96E4-693C6F5487EF}">
      <text>
        <t>[Threaded comment]
Your version of Excel allows you to read this threaded comment; however, any edits to it will get removed if the file is opened in a newer version of Excel. Learn more: https://go.microsoft.com/fwlink/?linkid=870924
Comment:
    ARA to be replaced by mETS Jira-requirement mgmt</t>
      </text>
    </comment>
    <comment ref="E20" authorId="16" shapeId="0" xr:uid="{7A108FD6-DFAC-47DF-8525-B86A2117D5D4}">
      <text>
        <t>[Threaded comment]
Your version of Excel allows you to read this threaded comment; however, any edits to it will get removed if the file is opened in a newer version of Excel. Learn more: https://go.microsoft.com/fwlink/?linkid=870924
Comment:
    AAES? or new name for Industry specific packages (SAP, Oracle, ...)  - as "non-myWizard)</t>
      </text>
    </comment>
    <comment ref="E21" authorId="17" shapeId="0" xr:uid="{7A425456-3A59-4B77-A76B-72D394E095CE}">
      <text>
        <t>[Threaded comment]
Your version of Excel allows you to read this threaded comment; however, any edits to it will get removed if the file is opened in a newer version of Excel. Learn more: https://go.microsoft.com/fwlink/?linkid=870924
Comment:
    Cygnus</t>
      </text>
    </comment>
    <comment ref="E23" authorId="18" shapeId="0" xr:uid="{F975E199-D0F2-43EC-926C-346B05001156}">
      <text>
        <t>[Threaded comment]
Your version of Excel allows you to read this threaded comment; however, any edits to it will get removed if the file is opened in a newer version of Excel. Learn more: https://go.microsoft.com/fwlink/?linkid=870924
Comment:
    remove Roadmap assistant (no ML), and add Release Planner, Story Point estimator</t>
      </text>
    </comment>
    <comment ref="F24" authorId="19" shapeId="0" xr:uid="{31F6692E-B5F6-4A76-B1A0-9516A564FD4F}">
      <text>
        <t>[Threaded comment]
Your version of Excel allows you to read this threaded comment; however, any edits to it will get removed if the file is opened in a newer version of Excel. Learn more: https://go.microsoft.com/fwlink/?linkid=870924
Comment:
    items in Red as part of myWizard for SI (move to correct column)</t>
      </text>
    </comment>
    <comment ref="F25" authorId="20" shapeId="0" xr:uid="{C7B91E7E-F137-499F-AD35-861170266C26}">
      <text>
        <t>[Threaded comment]
Your version of Excel allows you to read this threaded comment; however, any edits to it will get removed if the file is opened in a newer version of Excel. Learn more: https://go.microsoft.com/fwlink/?linkid=870924
Comment:
    same as above</t>
      </text>
    </comment>
    <comment ref="F35" authorId="21" shapeId="0" xr:uid="{7BEA721B-DF91-42F0-9293-B735A2836BB1}">
      <text>
        <t>[Threaded comment]
Your version of Excel allows you to read this threaded comment; however, any edits to it will get removed if the file is opened in a newer version of Excel. Learn more: https://go.microsoft.com/fwlink/?linkid=870924
Comment:
    myNav</t>
      </text>
    </comment>
    <comment ref="D38" authorId="22" shapeId="0" xr:uid="{FB853FDC-DD94-465C-9635-8235AB58FE0B}">
      <text>
        <t>[Threaded comment]
Your version of Excel allows you to read this threaded comment; however, any edits to it will get removed if the file is opened in a newer version of Excel. Learn more: https://go.microsoft.com/fwlink/?linkid=870924
Comment:
    Automated Ticket Resolver (ATR)</t>
      </text>
    </comment>
    <comment ref="F40" authorId="23" shapeId="0" xr:uid="{CFDC2F35-86CE-4907-9688-5030B56F392B}">
      <text>
        <t>[Threaded comment]
Your version of Excel allows you to read this threaded comment; however, any edits to it will get removed if the file is opened in a newer version of Excel. Learn more: https://go.microsoft.com/fwlink/?linkid=870924
Comment:
    CAST, SonarCube?</t>
      </text>
    </comment>
    <comment ref="D43" authorId="24" shapeId="0" xr:uid="{3EDDFD56-55B9-43F0-9F37-C0CDAB21782C}">
      <text>
        <t>[Threaded comment]
Your version of Excel allows you to read this threaded comment; however, any edits to it will get removed if the file is opened in a newer version of Excel. Learn more: https://go.microsoft.com/fwlink/?linkid=870924
Comment:
    AiOPS - Splunk monitoting &amp; alerting solutions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tc={1FB70486-3054-4F0A-82C2-60613603F713}</author>
  </authors>
  <commentList>
    <comment ref="J1" authorId="0" shapeId="0" xr:uid="{1FB70486-3054-4F0A-82C2-60613603F713}">
      <text>
        <t>[Threaded comment]
Your version of Excel allows you to read this threaded comment; however, any edits to it will get removed if the file is opened in a newer version of Excel. Learn more: https://go.microsoft.com/fwlink/?linkid=870924
Comment:
    Engagement task</t>
      </text>
    </comment>
  </commentList>
</comments>
</file>

<file path=xl/sharedStrings.xml><?xml version="1.0" encoding="utf-8"?>
<sst xmlns="http://schemas.openxmlformats.org/spreadsheetml/2006/main" count="3796" uniqueCount="1032">
  <si>
    <t>Opera Levers</t>
  </si>
  <si>
    <t>Asset Mapping</t>
  </si>
  <si>
    <t>Area</t>
  </si>
  <si>
    <t>Lever</t>
  </si>
  <si>
    <t>Short Description</t>
  </si>
  <si>
    <t>myWizard AIOPs</t>
  </si>
  <si>
    <t>myWizard for SI</t>
  </si>
  <si>
    <t>non-myWizard</t>
  </si>
  <si>
    <t>PCS Hub</t>
  </si>
  <si>
    <t>ADT Tools</t>
  </si>
  <si>
    <t>iPC tool kit</t>
  </si>
  <si>
    <t>Automated Project &amp; Service Management</t>
  </si>
  <si>
    <t>Automation dedicated leadership &amp; team</t>
  </si>
  <si>
    <t>A specific leadership and team is allocated to the automation delivery of the contract. The team and the automation lead are accountable for the end-to-end governance, design, build and deploy of the automation solutions, in collaboration with the client, the SME to be involved and specific core delivery teams. </t>
  </si>
  <si>
    <t>AD Group DL Management Tool
MME Roster Update
Access Management
Active Directory_Clean and Sync 
CDP RORO Roll-on_Roll-off_ACL Update
Demand and Resource Management
Headcount Analysis Tool
MME Set_Uo_Authorisd User List Extraction
myScheduling_Demand Generator
PMO Command Centre
Resource Management
MS Project Server vs myTE Reconciliation
Planning Management</t>
  </si>
  <si>
    <t>MSPS</t>
  </si>
  <si>
    <t>Cutover and Rollout governance automation</t>
  </si>
  <si>
    <t>Automation and orchestration of the cutover and rollout activities to accomplish work quickly and effectively, to plan, orchestrate and audit the human and automated activities done during large deployment processes.</t>
  </si>
  <si>
    <t>Azure Pipelines, Jenkins
RPA Bots
www.cutover.com</t>
  </si>
  <si>
    <t xml:space="preserve">Bulk Email Sender
File Consolidator Tool
Org Chart Generator
MyTE: WBS Authorization Bot
ACP WBSE Bulk update
Charge Code Lookup 
JIRA - Ageing Report Generator 
MyTE:WBS Add/Delete 
Outlook Profile Extractor 
Outlook Report generator 
Task Tracker Tool 
TMS Cab Scheduling 
Change request creation and tracking; Monitoring; Reporting. 
</t>
  </si>
  <si>
    <t>Project &amp; Service Management Analytics</t>
  </si>
  <si>
    <t>Project &amp; Service Management Analytics is the practice of extracting information from the delivery data, like work plan and deliverable tracking, test management data, tickets and SLA, CI/CD data, etc.</t>
  </si>
  <si>
    <t xml:space="preserve">ITSMOne
Ticket Analytics
Application Delivery (AD) assets
DevOps Analytics
myWizard Governance
</t>
  </si>
  <si>
    <t>Roadmap Assistant
Deliverable Assistant
Traceability Assistant
VDS
Test Optimizer</t>
  </si>
  <si>
    <t xml:space="preserve">MSPS
</t>
  </si>
  <si>
    <t>mETS PowerBI, MSPS SSRS reports, mETS Jira for PMO processes (Risk, Issue, deliverable, ...°</t>
  </si>
  <si>
    <t>PMO Automation - Chatbot</t>
  </si>
  <si>
    <t>Chatbots are used by the support team to project and service operations directly via text or speech. Chatbots can be set up to work in pull mode (answering information and data extractions) and push mode (proactively contacting the team members to notify an event or request information or confirmation necessary to compete a process.</t>
  </si>
  <si>
    <t>Chatbot
Cloud Chaser</t>
  </si>
  <si>
    <t>PMO Automation - Financial Reconciliation</t>
  </si>
  <si>
    <t>Automation of any repetitive or scheduled activities performed by the team to perform periodic reconciliation of effort, costs and billing data.</t>
  </si>
  <si>
    <t>Application Delivery (AD) assets</t>
  </si>
  <si>
    <t>MIMIC - MME Intelligent Management and In-built Configurator
MME Reports Extraction
WBS Authorization Process (WAP) Tool
Budget Request Management
MyTE Data Collector
Automated Invoicing via ServiceNow
Business Development WBD Admin Access BOT
Business Development WBSe Extraction
CA Clarity Cost Plan Updates
Data Lifter - Shift and On Call Allowance
Expense Management
MIMIC_MME Intelligent Management and In-built Configurator
myTE_WBS Authorisation List On-Off
On-call and Shift Allowance Report Generator
Shift and On call Management</t>
  </si>
  <si>
    <t>PMO Automation - Status Reporting</t>
  </si>
  <si>
    <t>Automation of any repetitive or scheduled activities performed by the team to produce periodic status reports, internal or to the final client, by the usage of software able to collect, organize and present delivery data in a digital format.</t>
  </si>
  <si>
    <t xml:space="preserve">
Ticket Analytics
</t>
  </si>
  <si>
    <t>VDS</t>
  </si>
  <si>
    <t>Report Extractor
PowerBI
Excel Automation
QuickSight
ITSMOne</t>
  </si>
  <si>
    <t>Risk and Issue Management
Action Management
Generating Plan on a Page
MME Report extraction</t>
  </si>
  <si>
    <t>SDL Machine Translation Cloud
Global Business Intelligence (GBI)
mETS PowerBI, MSPS SSRS reports, mETS Jira for PMO processes (Risk, Issue, deliverable, ...°</t>
  </si>
  <si>
    <t>Project &amp; Service Management Predictive Analytics</t>
  </si>
  <si>
    <t>Predictive analytics is the practice of extracting information from project and service management data and using it to predict trends and behavior patterns. For example predicting ticket volumes, change requests estimated cost and effort, business volumes for the next period of time. </t>
  </si>
  <si>
    <t>Ticket Analytics
VDS</t>
  </si>
  <si>
    <t>IngrAIn
VDS
Release planner, Story Point Estimator (predictions)</t>
  </si>
  <si>
    <t>Automated Risk Identification and Impact Analysis</t>
  </si>
  <si>
    <t xml:space="preserve">Automated onboarding/ offboarding of resources and analytics to help the delivery leads make informed resourcing decisions. Real time Resource Analytics to monitor resources performance factors </t>
  </si>
  <si>
    <t>Automated Resource Plan Management</t>
  </si>
  <si>
    <t>Automated onboarding/ offboarding of resources and analytics to help the delivery leads make informed resourcing decisions. Real time Resource Analytics to monitor resources performance factors </t>
  </si>
  <si>
    <t>Resource Manager</t>
  </si>
  <si>
    <t>DevOps</t>
  </si>
  <si>
    <t>Continuous Deployment</t>
  </si>
  <si>
    <t>The ability and practice of building software and deploying automatically it into environment for the purpose of testing. Continuous deployment goes one step further than continuous delivery. Every change that passes all stages of your production pipeline is released to your customers. There's no human intervention, and only a failed test will prevent a new change to be deployed to production.</t>
  </si>
  <si>
    <t>Jenkins, Docker, Octopus Deploy, AWS CodeDeploy, ADOP, Nexus,  Azure pipelines, Azure Boards, Azure Artifact, Azure Boards</t>
  </si>
  <si>
    <t>Atlassian JIRA.
Atlassian Confluence</t>
  </si>
  <si>
    <t>Continuous Integration</t>
  </si>
  <si>
    <t>The capability and practice of integrating software as early as possible and testing it, ideally all automatic. (Compiling and unit testing for single systems, deploying into integrated environment and testing for complex systems). 
Continuous integration merge changes to the main branch as often as possible. The developer's changes are validated by creating a build and running automated tests against the build.</t>
  </si>
  <si>
    <t>myWizard DevOps</t>
  </si>
  <si>
    <t>Jenkins, Bamboo, Go, Gitlab, Junit, Codeship, Strider,  SonarQube, Azure DevOps,  Azure Pipelines, Azure Repos, Azure Boards</t>
  </si>
  <si>
    <t>Atlassian JIRA.
Atlassian Confluence
BitBucket (part of mETS Jira solution)
Azure DevOps</t>
  </si>
  <si>
    <t>Continuous Delivery</t>
  </si>
  <si>
    <t>Continuous Delivery means that on top of having automated your testing, you also have automated your release process and you can deploy your application at any point of time by clicking on a button.</t>
  </si>
  <si>
    <t>Jenkins, Bamboo, Ant,Maven, crucible, SonarQube, Pupper, Chef, Nexus, Jira, Cucumber, Jmeter, SoapUI, Selenium, Git, Docker, Azure Artifact, Azure Pipelines, Azure Test plans, Azure Boards</t>
  </si>
  <si>
    <t>Atlassian JIRA.
Atlassian ConfluenceAtlassian JIRA</t>
  </si>
  <si>
    <t>Intelligent Analysis &amp; Design &amp; Build</t>
  </si>
  <si>
    <t>Automated Release/Sprint Planning</t>
  </si>
  <si>
    <t>Automation of the activities to align requirements or user stories to a release and/or Sprint based on prioritization, dependencies, sizing, and resourcing.  Full automation eliminates the manual effort the align the requirements or user stories in a tool.</t>
  </si>
  <si>
    <t>MyWizard Release Planner, Story Points Estimator</t>
  </si>
  <si>
    <t>Requirements Readiness Assistant
Agile Release Planner
Requirements Prioritization
Sprint Planner
Traceability Assistant
Story Point Estimator</t>
  </si>
  <si>
    <t>Jira, Azure DevOps</t>
  </si>
  <si>
    <t>JIRA requirement mgmt</t>
  </si>
  <si>
    <t>Automated Requirements/User Story Assessment</t>
  </si>
  <si>
    <t>Automation of the activities to review and assess the quality of the requirement or user story.  This includes automated recommendations for requirement or user story descriptions, meta data associated to the requirement, identification of duplicates, assignment of business processes, etc.</t>
  </si>
  <si>
    <t>Story Points Estimator, Rquirements Management</t>
  </si>
  <si>
    <t xml:space="preserve">Requirements Readiness Assistant
Requirements Coverage
Requirements Dependency Builder
Requirements Prioritization </t>
  </si>
  <si>
    <t>Accenture Requirements Analyzer</t>
  </si>
  <si>
    <t>Automated Requirements/User Story Prioritization</t>
  </si>
  <si>
    <t>Automation of the activities to prioritize the requirements or user stories as an input into release and/or sprint planning.  Eliminates the manual effort to identify dependencies and provides relative ranking of a given requirement or user story.</t>
  </si>
  <si>
    <t>Release Planner, Requirements Management</t>
  </si>
  <si>
    <t>Requirements Readiness
Requirements Coverage
Requirements Dependency Builder
Requirements Prioritization
Release Planner
Sprint Planner
Story Point Predictor</t>
  </si>
  <si>
    <t>Automatic Code/Configuration Generation</t>
  </si>
  <si>
    <t>Automation of activities of the build phase (writing of code, configurations and corresponding tests scripts) starting from requirements and design documentation written in a specific and standard format or human text converted predefined creation instructions leveraging business rules, machine learning or natural language processing</t>
  </si>
  <si>
    <t>Allassian Confluence</t>
  </si>
  <si>
    <t>​Cloud Native</t>
  </si>
  <si>
    <t>L​everage Cloud Native offerings to change the entire lifecycle of how requirements are collaboratively incepted, coded, tested and deployed (e.g. AWS Lambda, Azure Databricks, GCP Tensor/Data​</t>
  </si>
  <si>
    <t>MyWizard DevOps</t>
  </si>
  <si>
    <t>​Intelligent Analysis &amp; Design &amp; Build</t>
  </si>
  <si>
    <t>​Industry Domain ready-to-use Requirements Repository</t>
  </si>
  <si>
    <t>​Leverage repository of ready to use business processes and requirements collations to speed up requirements analysis and assure coverage and fit to the business value.</t>
  </si>
  <si>
    <t>Requirements Readiness Assistant
Treability Assistant</t>
  </si>
  <si>
    <t>AAES or new name for Industry specific packages (SAP, Oracle, ...)  - as "non-myWizard</t>
  </si>
  <si>
    <t>​Intelligent Analysis &amp; Design &amp; Build</t>
  </si>
  <si>
    <t>​Machine Learning Based Automatic Change Request Analysis and Planning</t>
  </si>
  <si>
    <t>​Automatic analysis of  the impact of change requests on project milestones, based on available delivery data and machine learning models.</t>
  </si>
  <si>
    <t>Change Manager Assitant
Cygnus</t>
  </si>
  <si>
    <t>​Microservices Architecture</t>
  </si>
  <si>
    <t>​Adopt an architecture of loosely coupled microservices which can be developed, deployed, and maintained independently.
Each of these services is responsible for single responsibility and a discrete task and communicate with other services through simple APIs to solve a larger complex business problem.</t>
  </si>
  <si>
    <t>Machine Learning Based Estimation</t>
  </si>
  <si>
    <t>​​​Usage of estimating techniques that rely on integrated data from work plans and actuals tracking to improve estimation and planning of delivery efforts</t>
  </si>
  <si>
    <t>Release Planner, Story point estimator, 
Daily Stand Up Assistant
Retrospective Assistant
Report Automation</t>
  </si>
  <si>
    <t>Intelligent Testing</t>
  </si>
  <si>
    <t>Testing Analytics and Optimization</t>
  </si>
  <si>
    <t>Intelligent structuring of test cases and/or optimization of existing test suites to meet organizational quality goals, business requirements, business risk coverage, and to optimize ongoing test case maintenance ongoing</t>
  </si>
  <si>
    <t>Test Optimizer
Accenture Touchless Testing Platform - Iterative Optimization, Insightful Pattern Mining
Test Optimizer, Pattern Mining</t>
  </si>
  <si>
    <r>
      <t>CAST, Hexawise, Micro Focus Quality Center/ Application LifeCycle Management
myWizard -</t>
    </r>
    <r>
      <rPr>
        <sz val="11"/>
        <color rgb="FFFF0000"/>
        <rFont val="Calibri"/>
        <family val="2"/>
        <scheme val="minor"/>
      </rPr>
      <t xml:space="preserve"> </t>
    </r>
  </si>
  <si>
    <t xml:space="preserve">Hexawise
</t>
  </si>
  <si>
    <t>Codeless Test Automation</t>
  </si>
  <si>
    <t>Codeless functional/regression/integration test automation and maintenance (i.e. Tricentis, Worksoft, etc)</t>
  </si>
  <si>
    <t>Instant Test Automation
Accenture Touchless Testing Platform - Instant Automation, myWizard - Instant Automation</t>
  </si>
  <si>
    <t xml:space="preserve">Tricentis TOSCA, Worksoft Certify, </t>
  </si>
  <si>
    <t>Component Based Test Automation</t>
  </si>
  <si>
    <t>Self Healing Testing Automation</t>
  </si>
  <si>
    <t xml:space="preserve">AI based frameworks/platforms to monitor application changes and their impact to existing test cases and strategies, or to advise test teams on test stack optimization, predict changes, and offer self-healing options in line. </t>
  </si>
  <si>
    <t>Accenture Touchless Testing Platform</t>
  </si>
  <si>
    <t>Security and vulnerability Testing</t>
  </si>
  <si>
    <t>Frameworks and automation to support mobile, web, and IoT in the areas of data protection, digital assurance, dynamic analysis, vulnerability assessments and related security testing</t>
  </si>
  <si>
    <t>Fortify, Web Inspect</t>
  </si>
  <si>
    <t>Automated Test Data Management</t>
  </si>
  <si>
    <t>Identification, selection, manipulation, provisioning, and maintenance of data for testing environments and for test execution cycles</t>
  </si>
  <si>
    <t>Transactional data creation (Selenium, Micro Focus Unified Functional Testing, Tricentis TOSCA, Worksoft Certify, RPA tools)
API-based data creation ( SOAPUI, JMeter, PostMan, ReadyAPI)
Database-specific - TBD</t>
  </si>
  <si>
    <t>Coded Test Automation</t>
  </si>
  <si>
    <t>Code-driven, scripted functional/regression/integration test automation and maintenance  (i.e. Java, C#, Ruby, Python, etc)</t>
  </si>
  <si>
    <t>Instant Test Automation</t>
  </si>
  <si>
    <t>Selenium, Micro Focus Unified Functional Testing, Accenture Touchless Testing Platform - Instant Automation, myWizard - Instant Automation</t>
  </si>
  <si>
    <t>Device and Omnichannel Testing</t>
  </si>
  <si>
    <t>Automated testing for mobile and/or omni-channel use cases, and/or the use of modern digital and cloud based frameworks and platforms to support that testing</t>
  </si>
  <si>
    <t>Appium, TOSCA, Micro Focus Unified Functional Testing, Accenture Omni Channel Testing Platform (AOCTP), Accenture Digital Cross-Channel Validator (ADCCV)</t>
  </si>
  <si>
    <t>​​Intelligent Testing​</t>
  </si>
  <si>
    <t>​Services and Environments Virtualization​</t>
  </si>
  <si>
    <t>​Shift to production-like lower environments through stubbing, mocks, virtualzation, automated provisioning / discovery / management, etc.​</t>
  </si>
  <si>
    <t>Proactive Maintenance and Operations</t>
  </si>
  <si>
    <t>Infrastructure as code</t>
  </si>
  <si>
    <t>Infrastructure as code is the process of managing and provisioning infrastructure configurations through machine-readable definition files, rather than physical hardware configuration or interactive configuration tools. Infrastructure as Code (IaC) manage infrastructure in a descriptive model, using the same versioning as DevOps team uses for source code</t>
  </si>
  <si>
    <t>AWS Cloudformation, Terraform, Chef, Puppet, Ansible, Docker, Vagrant, Kubernetes</t>
  </si>
  <si>
    <t>Application Monitoring &amp; Analytics</t>
  </si>
  <si>
    <t>Application monitoring routinely check that processes of an application technically perform in the expected way. Application monitoring include web, synthetic static translations, batch, log, application server monitoring and any form of technical check on the application status. The data collected with monitoring is then subjected to analytics to discovery, interpretation, and communication of meaningful patterns in the data that can lead to improvement in the architecture and in the management processes.</t>
  </si>
  <si>
    <t>myWizard AiOps for Batch 
myWizard AiOps for SAP
Stack assets (Web)</t>
  </si>
  <si>
    <t>Test Pattern Mining</t>
  </si>
  <si>
    <t>Business Process Monitoring &amp; Analytics</t>
  </si>
  <si>
    <t>Business Process Monitoring goes one step further than application monitoring, and routinely check that business processes perform in the expected way. Business processes data are often collected directly from the databases or though specific logs, and then organized and presented following the business process flow. Examples of BPM are order to cash monitoring, provisioning and delivery monitoring, etc.  The data collected with monitoring is then subjected to analytics to discovery, interpretation, and communication of meaningful patterns in the data that can lead to improvement in the architecture and in the management processes.</t>
  </si>
  <si>
    <t>Stormwatch
myWizard AiOps for SAP</t>
  </si>
  <si>
    <t>Cloud Management Platform / Cloud Governance</t>
  </si>
  <si>
    <t>Provide an end-to-end ability to navigate the complexity of the cloud landscape and determine optimal cloud solutions that best fit specific business requirements.</t>
  </si>
  <si>
    <t>Cloud Security and Compliance checker
Cloud Chargeback
Cloud 360</t>
  </si>
  <si>
    <t>AWS, Azure, Google Cloud platform
myNav</t>
  </si>
  <si>
    <t>Infrastructure Monitoring &amp; Analytics</t>
  </si>
  <si>
    <t>Infrastructure monitoring routinely check that the infrastructure architecture perform in the expected way. Infrastructure monitoring include hardware, operating system, database  monitoring and any form of technical check on the infrastructure status. The data collected with monitoring is then subjected to analytics to discovery, interpretation, and communication of meaningful patterns in the data that can lead to improvement in the architecture and in the management processes.</t>
  </si>
  <si>
    <t>Stack Assets (Infrastructure, Database)
Stormwatch</t>
  </si>
  <si>
    <t>MyWizard DevOps, Azure Monitor, Nagios</t>
  </si>
  <si>
    <t>Predictive Monitoring &amp; Analytics</t>
  </si>
  <si>
    <t>Predictive monitoring and analytics is the practice of extracting information from monitoring data (infrastructure, application or business processes) and using it to predict trends and behavior patterns. For example predicting infrastructure capacity requirements or failure of application interfaces. Predictive analytics is also used to predict the value of a metric from known values of other measures not exactly correlated by a formula. For example CPU usage by the number of concurrent users and other dimensions, or the expected  duration of a batch job given current load of the hardware and other factors.</t>
  </si>
  <si>
    <t>Stormwatch
Smart Capacity Planner (Still in development)</t>
  </si>
  <si>
    <t>Repetitive Task Automation - Custom Scripts/Bots</t>
  </si>
  <si>
    <t>Automation of any repetitive or scheduled activities performed by the team to produce a deliverable or fulfill a service, by the development of specific programs to interact with the back end interfaces of the client systems, such as file system,  databases, API. </t>
  </si>
  <si>
    <t>Turing
Cloud Chaser
ATR
RPA 360</t>
  </si>
  <si>
    <t>RPA</t>
  </si>
  <si>
    <t>Repetitive Task Automation - RPA</t>
  </si>
  <si>
    <t>Automation of any repetitive or scheduled activities performed by the team to produce client deliverables or fulfill a service, by the usage of software (commercial of custom) able to to interact with the user interfaces of the client systems like humans, mostly automating screens navigation and keyboard and mouse interactions.</t>
  </si>
  <si>
    <t>myWizard AiOps for RPA/ RPA 360
Embedded RPA Bots (Oracle, SAP, Salesforce)</t>
  </si>
  <si>
    <t>Automation Anywhere
ARP
Blue Prism</t>
  </si>
  <si>
    <t>​Proactive Maintenance and Operations</t>
  </si>
  <si>
    <t>​Technical Debt Automatic Monitoring and Reduction</t>
  </si>
  <si>
    <t>​Automatic full applications scans for measuring technical debt on a regular basis. Identify the most serious structural flaws, quality problems of an application. Automatically prioritize the remediation of the problems with guidance, best practices benchmarks</t>
  </si>
  <si>
    <t>CAST
Sonarcube</t>
  </si>
  <si>
    <t>​​Proactive Maintenance and Operations</t>
  </si>
  <si>
    <t>​Automated Security Event Remediation</t>
  </si>
  <si>
    <t>​Automatic resolution of security events rised by security monitoring</t>
  </si>
  <si>
    <t>Automated Security Monitoring and Alerting​</t>
  </si>
  <si>
    <t>​Security monitoring and analytics is the practice of continusly check from security breaches across the architecture. </t>
  </si>
  <si>
    <t>​Monitoring Events Correlation Across the Architecture</t>
  </si>
  <si>
    <t>Correlate and identify anomalies in events and data series across the different layers and components of the architecture, from infrastructure to the business.  When outliers and anomalies are detected, send alerts or trigger automation to resolve the problem.​​</t>
  </si>
  <si>
    <t>AIOPS Splunk Monitoring &amp; Alerting solutions</t>
  </si>
  <si>
    <t>Tickets Automation</t>
  </si>
  <si>
    <t>Automated Ticket Assignment</t>
  </si>
  <si>
    <t>Automated Ticket Assignment is the automatic forwarding of the incoming tickets to the correct resolution group or user, based on the ticket category identified by Automated Ticket Classification.</t>
  </si>
  <si>
    <t>Automatic Ticket Assignment (ATA)</t>
  </si>
  <si>
    <t>Automated Ticket Classification</t>
  </si>
  <si>
    <t>Automated Ticket Classification is the automatic categorization of the incoming tickets based on business rules, machine learning or natural language processing to instantly associate the ticket to known categories, and present to the operator the resolution instruction, knowledge articles, relevant data or any available information associated to the corresponding ticket category.</t>
  </si>
  <si>
    <t>Automatic Ticket Resolver (ATR)</t>
  </si>
  <si>
    <t>myWizard_Ticket Upload</t>
  </si>
  <si>
    <t>Automated Ticket Resolution</t>
  </si>
  <si>
    <t>Automated Ticket Resolution is the automatic or semi-automatic resolution of the incoming tickets based on the ticket category identified by Automated Ticket Classification.</t>
  </si>
  <si>
    <t>Virtual Agents &amp; Chatbots</t>
  </si>
  <si>
    <t>Chatbots are used by the support team to perform tickets operations directly via text or speech. Virtual agents are used to enrich to support experience to the final users, offering knowledge  (FAQ, knowledge search) and service fulfillment (report an issue, request for a specific known service, etc)
Both chatbots and virtual agents can be set up to work in pull mode (answering questions and requests) and push mode (proactively contacting the user to notify an event or request information or confirmation necessary to compete a process.</t>
  </si>
  <si>
    <t>Chatbot
Cloud Chaser
Quasar (PAM premium app)
KLEWER (PAM premium app)</t>
  </si>
  <si>
    <t>Accenture Knowledge Navigator (AKN)</t>
  </si>
  <si>
    <t>​Tickets Automation</t>
  </si>
  <si>
    <t>Waste Eradication and Process Optimization</t>
  </si>
  <si>
    <t>Waste Eradication and Process Optimization are systematic and periodic activities to identify and remove tasks that do not produce direct value for the contract and the client and to optimize inefficiencies in the delivery to using lean six sigma techniques. Waste Eradication and Process Optimization generates direct reduction of the time and effort necessary to produce a deliverable or a unit of service.</t>
  </si>
  <si>
    <t>Axure
Accenture Knowledge Navigator (AKN)</t>
  </si>
  <si>
    <t>Automated Knowledge Management</t>
  </si>
  <si>
    <t>​Knowledge Management automation to support the knowledge management processes: collecting, documenting, curating and updating the knowledge base, and improve the search and usage of the base itself.</t>
  </si>
  <si>
    <t>QUASAR</t>
  </si>
  <si>
    <t>AAPAC</t>
  </si>
  <si>
    <t>Global Team</t>
  </si>
  <si>
    <t>Bundle</t>
  </si>
  <si>
    <t>Group</t>
  </si>
  <si>
    <t>Sub-group</t>
  </si>
  <si>
    <t>Asset Category</t>
  </si>
  <si>
    <t>Tools</t>
  </si>
  <si>
    <r>
      <t>COST (</t>
    </r>
    <r>
      <rPr>
        <b/>
        <sz val="11"/>
        <color theme="0"/>
        <rFont val="Calibri"/>
        <family val="2"/>
        <scheme val="minor"/>
      </rPr>
      <t>F</t>
    </r>
    <r>
      <rPr>
        <b/>
        <sz val="11"/>
        <color theme="0"/>
        <rFont val="Calibri"/>
        <family val="2"/>
        <scheme val="minor"/>
      </rPr>
      <t xml:space="preserve">ree / </t>
    </r>
    <r>
      <rPr>
        <b/>
        <sz val="11"/>
        <color theme="0"/>
        <rFont val="Calibri"/>
        <family val="2"/>
        <scheme val="minor"/>
      </rPr>
      <t>S</t>
    </r>
    <r>
      <rPr>
        <b/>
        <sz val="11"/>
        <color theme="0"/>
        <rFont val="Calibri"/>
        <family val="2"/>
        <scheme val="minor"/>
      </rPr>
      <t xml:space="preserve">ubscription / </t>
    </r>
    <r>
      <rPr>
        <b/>
        <sz val="11"/>
        <color theme="0"/>
        <rFont val="Calibri"/>
        <family val="2"/>
        <scheme val="minor"/>
      </rPr>
      <t>O</t>
    </r>
    <r>
      <rPr>
        <b/>
        <sz val="11"/>
        <color theme="0"/>
        <rFont val="Calibri"/>
        <family val="2"/>
        <scheme val="minor"/>
      </rPr>
      <t>ne-off)</t>
    </r>
  </si>
  <si>
    <r>
      <t>Hosting (</t>
    </r>
    <r>
      <rPr>
        <b/>
        <sz val="11"/>
        <color theme="0"/>
        <rFont val="Calibri"/>
        <family val="2"/>
        <scheme val="minor"/>
      </rPr>
      <t>C</t>
    </r>
    <r>
      <rPr>
        <b/>
        <sz val="11"/>
        <color theme="0"/>
        <rFont val="Calibri"/>
        <family val="2"/>
        <scheme val="minor"/>
      </rPr>
      <t>loud/</t>
    </r>
    <r>
      <rPr>
        <b/>
        <sz val="11"/>
        <color theme="0"/>
        <rFont val="Calibri"/>
        <family val="2"/>
        <scheme val="minor"/>
      </rPr>
      <t>O</t>
    </r>
    <r>
      <rPr>
        <b/>
        <sz val="11"/>
        <color theme="0"/>
        <rFont val="Calibri"/>
        <family val="2"/>
        <scheme val="minor"/>
      </rPr>
      <t>n-prem)</t>
    </r>
  </si>
  <si>
    <t>ANZ</t>
  </si>
  <si>
    <t>Africa</t>
  </si>
  <si>
    <t>SEA</t>
  </si>
  <si>
    <t>Japan</t>
  </si>
  <si>
    <t>GC</t>
  </si>
  <si>
    <t>ME</t>
  </si>
  <si>
    <t>Shared Service</t>
  </si>
  <si>
    <t>Found in MyW SI Wiki</t>
  </si>
  <si>
    <t>non myWizard</t>
  </si>
  <si>
    <t xml:space="preserve">DevOps </t>
  </si>
  <si>
    <t>ADOP</t>
  </si>
  <si>
    <t>S</t>
  </si>
  <si>
    <t>CO</t>
  </si>
  <si>
    <t>Jenkin</t>
  </si>
  <si>
    <t>FS</t>
  </si>
  <si>
    <t xml:space="preserve"> Atlassian Confluence</t>
  </si>
  <si>
    <t>C</t>
  </si>
  <si>
    <t>Atlassian BITBUCKET</t>
  </si>
  <si>
    <t>SO</t>
  </si>
  <si>
    <t>O</t>
  </si>
  <si>
    <t>SONARCUBE</t>
  </si>
  <si>
    <t>Nexus</t>
  </si>
  <si>
    <t>Terraform</t>
  </si>
  <si>
    <t>Kubernetes</t>
  </si>
  <si>
    <t>F</t>
  </si>
  <si>
    <t>Azure DevOps</t>
  </si>
  <si>
    <t>Testing &amp; Quality</t>
  </si>
  <si>
    <t>Test Automation</t>
  </si>
  <si>
    <t>TRICENTIS TOSCA</t>
  </si>
  <si>
    <t>WORKSOFT</t>
  </si>
  <si>
    <t>Selenium</t>
  </si>
  <si>
    <t>Micro Focus Unified Functional Testing</t>
  </si>
  <si>
    <t>Micro Focus Quality Center/ Application LifeCycle Management</t>
  </si>
  <si>
    <t>Micro Focus LoadRunner</t>
  </si>
  <si>
    <t>IBM Rational Performance Tester (RPT)</t>
  </si>
  <si>
    <t>Hexawise</t>
  </si>
  <si>
    <t>Cast</t>
  </si>
  <si>
    <t>Automation Anywhere</t>
  </si>
  <si>
    <t>OS</t>
  </si>
  <si>
    <t>BluePrism</t>
  </si>
  <si>
    <t>ARP</t>
  </si>
  <si>
    <t>SI Transformation</t>
  </si>
  <si>
    <t>Application Lifecycle Tools</t>
  </si>
  <si>
    <t>Development &amp; Maintenance - Delivery Management</t>
  </si>
  <si>
    <t>ADT</t>
  </si>
  <si>
    <t>SDL Machine Translation Cloud</t>
  </si>
  <si>
    <t>ALMA</t>
  </si>
  <si>
    <t>ALMA RTI</t>
  </si>
  <si>
    <t>Accenture Mobilization Management</t>
  </si>
  <si>
    <t>Accenture Solution Factory Management</t>
  </si>
  <si>
    <t>Accenture System Diagnostics for Pega</t>
  </si>
  <si>
    <t>Accrual Process Tool</t>
  </si>
  <si>
    <t>Development &amp; Maintenance - Build</t>
  </si>
  <si>
    <t>MicroFocus Fortify SCA</t>
  </si>
  <si>
    <t>MicroFocus WebInspect</t>
  </si>
  <si>
    <t>Portswigger BURP Suite Pro</t>
  </si>
  <si>
    <t>Development &amp; Maintenance - Analysis</t>
  </si>
  <si>
    <t>Axure</t>
  </si>
  <si>
    <t>Accenture Performance Analytics for AO</t>
  </si>
  <si>
    <t>Accenture Data Load Validator for Workday</t>
  </si>
  <si>
    <t>Accenture Data Reconciliation Accelerator for Workday</t>
  </si>
  <si>
    <t>Accenture Data Validator</t>
  </si>
  <si>
    <t>Accenture Development Framework for SAP</t>
  </si>
  <si>
    <t>Accenture Project Visualizer</t>
  </si>
  <si>
    <t>Accenture Risk Predictor for Pega</t>
  </si>
  <si>
    <t>Accenture Rule Reviewer for Pega</t>
  </si>
  <si>
    <t>Accenture Scenario Predictor for AD</t>
  </si>
  <si>
    <t>Accenture Scenario Predictor for AO</t>
  </si>
  <si>
    <t>Accenture System Diagnostics for Java</t>
  </si>
  <si>
    <t>Accenture System Diagnostics for Oracle</t>
  </si>
  <si>
    <t>Accenture System Diagnostics for Salesforce</t>
  </si>
  <si>
    <t>Accenture System Diagnostics for SAP</t>
  </si>
  <si>
    <t>Accenture Systems Diagnostics for Microsoft Dynamics AX</t>
  </si>
  <si>
    <t>Accenture Systems Diagnostics for Microsoft Dynamics CRM</t>
  </si>
  <si>
    <t>Accenture Systems Diagnostics for Microsoft Sitecore</t>
  </si>
  <si>
    <t>Accenture Systems Diagnostics for Microsoft.Net</t>
  </si>
  <si>
    <t>Accenture Ticket Data Analyzer</t>
  </si>
  <si>
    <t>SharePoint Insights</t>
  </si>
  <si>
    <t>Integrations</t>
  </si>
  <si>
    <t>AKN and ServiceNow Integration</t>
  </si>
  <si>
    <t>ServiceNow and MSPS Integration</t>
  </si>
  <si>
    <t>JIRA and MSPS Integration</t>
  </si>
  <si>
    <t>Knowledge Transfer &amp; Management</t>
  </si>
  <si>
    <t>RTS SMART</t>
  </si>
  <si>
    <t>Service Work Entry</t>
  </si>
  <si>
    <t>ServiceNow</t>
  </si>
  <si>
    <t>Global Business Intelligence (GBI)</t>
  </si>
  <si>
    <t>Employee Self Service (ESS)</t>
  </si>
  <si>
    <t>Work Planning &amp; Time Tracking</t>
  </si>
  <si>
    <t>Microsoft Project (MSPP/MSPS)</t>
  </si>
  <si>
    <t>Development &amp; Maintenance - Test</t>
  </si>
  <si>
    <t>Accenture Development Tools in the Cloud</t>
  </si>
  <si>
    <t>Accenture Digital Cross Channel Validator</t>
  </si>
  <si>
    <t>Accenture Metrics Management for Testing</t>
  </si>
  <si>
    <t>Accenture Payroll Reconciliation Accelerator for Workday</t>
  </si>
  <si>
    <t>Accenture Performance Analytics - Testing</t>
  </si>
  <si>
    <t>Accenture Scenario Predictor - Testing</t>
  </si>
  <si>
    <t>Development &amp; Maintenance - Design</t>
  </si>
  <si>
    <t>Accenture Prototype Accelerator</t>
  </si>
  <si>
    <t>Manage and Measure</t>
  </si>
  <si>
    <t>Watson Analytics (Vendor Hosted)</t>
  </si>
  <si>
    <t>Java Build Accelerator</t>
  </si>
  <si>
    <t>Automation Blueprint</t>
  </si>
  <si>
    <t>SITECORE</t>
  </si>
  <si>
    <t>ORACLE</t>
  </si>
  <si>
    <t>DYNAMICS365 CRM</t>
  </si>
  <si>
    <t>DYNAMICS365 AX</t>
  </si>
  <si>
    <t>SAP</t>
  </si>
  <si>
    <t>JAVA</t>
  </si>
  <si>
    <t>PEGA</t>
  </si>
  <si>
    <t>SFDC</t>
  </si>
  <si>
    <t>.Net</t>
  </si>
  <si>
    <t>Delivery Control Tool kit</t>
  </si>
  <si>
    <t>Workplanning</t>
  </si>
  <si>
    <t>DCT Tool</t>
  </si>
  <si>
    <t>Workflow tools</t>
  </si>
  <si>
    <t>ADT Jira</t>
  </si>
  <si>
    <t>Azure</t>
  </si>
  <si>
    <t>Sharepoint</t>
  </si>
  <si>
    <t>Reporting</t>
  </si>
  <si>
    <t>Power BI</t>
  </si>
  <si>
    <t>Excel Automation</t>
  </si>
  <si>
    <t>Quicksight</t>
  </si>
  <si>
    <t>PCS Innovation</t>
  </si>
  <si>
    <t>myWizard</t>
  </si>
  <si>
    <t>myWizard Governance</t>
  </si>
  <si>
    <t>MyWizard Governance</t>
  </si>
  <si>
    <t>Governance</t>
  </si>
  <si>
    <t>MyWizard SI Core Apps</t>
  </si>
  <si>
    <t>MyWizard for SI</t>
  </si>
  <si>
    <t>AI-Fuion</t>
  </si>
  <si>
    <t xml:space="preserve"> Ingrain</t>
  </si>
  <si>
    <t>Agile Apps</t>
  </si>
  <si>
    <t xml:space="preserve"> Digital Design Thinking</t>
  </si>
  <si>
    <t>Y</t>
  </si>
  <si>
    <t>Story Point Predictor</t>
  </si>
  <si>
    <t xml:space="preserve"> Story Slicing (SHEQC)</t>
  </si>
  <si>
    <t xml:space="preserve"> Daily Standup Assistant</t>
  </si>
  <si>
    <t xml:space="preserve"> Report Automation</t>
  </si>
  <si>
    <t xml:space="preserve"> Retrospective Assistant</t>
  </si>
  <si>
    <t xml:space="preserve"> Sprint Planner Assistant</t>
  </si>
  <si>
    <t>Delivrey Execution</t>
  </si>
  <si>
    <t xml:space="preserve"> Instant Test Automation</t>
  </si>
  <si>
    <t xml:space="preserve"> Test Optimizer</t>
  </si>
  <si>
    <t xml:space="preserve"> Test Pattern Mining</t>
  </si>
  <si>
    <t>Knowledge Management</t>
  </si>
  <si>
    <t xml:space="preserve"> QUASAR</t>
  </si>
  <si>
    <t>Planning and Program Management</t>
  </si>
  <si>
    <t xml:space="preserve"> Program Initiation and Stage-gate Assistant</t>
  </si>
  <si>
    <t xml:space="preserve"> Action Manager</t>
  </si>
  <si>
    <t xml:space="preserve"> Decision Manager</t>
  </si>
  <si>
    <t xml:space="preserve"> Issue Manager</t>
  </si>
  <si>
    <t xml:space="preserve"> Risk manager</t>
  </si>
  <si>
    <t xml:space="preserve"> Roadmap Assistant</t>
  </si>
  <si>
    <t xml:space="preserve"> Milestone and Deliverable Assistant</t>
  </si>
  <si>
    <t>y</t>
  </si>
  <si>
    <t>Release Management</t>
  </si>
  <si>
    <t xml:space="preserve"> Traceability Assistant</t>
  </si>
  <si>
    <t>Release Planning</t>
  </si>
  <si>
    <t xml:space="preserve"> Release Planner</t>
  </si>
  <si>
    <t>Requirements and Change Management</t>
  </si>
  <si>
    <t xml:space="preserve"> Change Manager Assistant</t>
  </si>
  <si>
    <t xml:space="preserve"> Manage Requirements</t>
  </si>
  <si>
    <t xml:space="preserve"> Requirements Readiness Assistant</t>
  </si>
  <si>
    <t xml:space="preserve"> Requirements Coverage</t>
  </si>
  <si>
    <t xml:space="preserve"> Requirements Dependency Builder</t>
  </si>
  <si>
    <t xml:space="preserve">  Requirements Prioritization</t>
  </si>
  <si>
    <t>Virtual Agents and, Analytics</t>
  </si>
  <si>
    <t xml:space="preserve"> Virtual Agents</t>
  </si>
  <si>
    <t xml:space="preserve"> Virtual Data Scientist</t>
  </si>
  <si>
    <t>Cygnus</t>
  </si>
  <si>
    <t>MyWizard AIOps Apps</t>
  </si>
  <si>
    <t>Generic Data Uploader</t>
  </si>
  <si>
    <t>RIAD</t>
  </si>
  <si>
    <t>MyWizard AIOps</t>
  </si>
  <si>
    <t xml:space="preserve"> Automatice Ticket Resolver</t>
  </si>
  <si>
    <t xml:space="preserve"> Automation Planner</t>
  </si>
  <si>
    <t xml:space="preserve"> Automation Journey</t>
  </si>
  <si>
    <t xml:space="preserve"> Guided Ticket Resolver</t>
  </si>
  <si>
    <t xml:space="preserve"> Intelligent Opportunity Miner (IOM)</t>
  </si>
  <si>
    <t xml:space="preserve"> AlertCentre 360</t>
  </si>
  <si>
    <t xml:space="preserve"> Automatic Ticket Assignment</t>
  </si>
  <si>
    <t xml:space="preserve"> StormWatch</t>
  </si>
  <si>
    <t xml:space="preserve"> Virtual Agent (Chatbot)</t>
  </si>
  <si>
    <t xml:space="preserve"> ITSMOne</t>
  </si>
  <si>
    <t xml:space="preserve"> Turing</t>
  </si>
  <si>
    <t xml:space="preserve"> Cloud Chaser</t>
  </si>
  <si>
    <t xml:space="preserve"> Salesforce 360</t>
  </si>
  <si>
    <t xml:space="preserve"> Mainframe</t>
  </si>
  <si>
    <t>Smart Capacity Prediction</t>
  </si>
  <si>
    <t xml:space="preserve"> AM Virtual Data Scientist</t>
  </si>
  <si>
    <t xml:space="preserve"> Application Portfolio Modernization</t>
  </si>
  <si>
    <t xml:space="preserve"> Business Disruption Predictor</t>
  </si>
  <si>
    <t xml:space="preserve"> Infra360</t>
  </si>
  <si>
    <t xml:space="preserve"> Ticket Analysis</t>
  </si>
  <si>
    <t xml:space="preserve"> Batch</t>
  </si>
  <si>
    <t xml:space="preserve"> BP Led AM</t>
  </si>
  <si>
    <t xml:space="preserve"> Report Extractor</t>
  </si>
  <si>
    <t xml:space="preserve"> KLEWER</t>
  </si>
  <si>
    <t xml:space="preserve"> DevOps Analytics</t>
  </si>
  <si>
    <t xml:space="preserve"> Application Delivery</t>
  </si>
  <si>
    <t xml:space="preserve"> Service Integrator</t>
  </si>
  <si>
    <t xml:space="preserve"> myWizard 360 for DB360</t>
  </si>
  <si>
    <t xml:space="preserve"> 360 for SAP</t>
  </si>
  <si>
    <t xml:space="preserve"> Stach Monitoring (Stack360)</t>
  </si>
  <si>
    <t xml:space="preserve"> RPA</t>
  </si>
  <si>
    <t xml:space="preserve"> Cloud Chargeback</t>
  </si>
  <si>
    <t>Cloud Security and Compliance Checker</t>
  </si>
  <si>
    <t xml:space="preserve"> Splunk License</t>
  </si>
  <si>
    <t>Core Tools</t>
  </si>
  <si>
    <t>LDAP</t>
  </si>
  <si>
    <t>phpLDAPadmin</t>
  </si>
  <si>
    <t>GitLab</t>
  </si>
  <si>
    <t>MongoDB</t>
  </si>
  <si>
    <t>Cartridges Tools</t>
  </si>
  <si>
    <t>Jenkins</t>
  </si>
  <si>
    <t>Git-Secrets</t>
  </si>
  <si>
    <t>Selenium Grid</t>
  </si>
  <si>
    <t>Gatling</t>
  </si>
  <si>
    <t>Clair</t>
  </si>
  <si>
    <t>Kibana</t>
  </si>
  <si>
    <t>Cartridges</t>
  </si>
  <si>
    <t>Managed Kubernetes</t>
  </si>
  <si>
    <t>SAP 1.0</t>
  </si>
  <si>
    <t>BigData Infra - Hadoop</t>
  </si>
  <si>
    <t>SFDC 1.0</t>
  </si>
  <si>
    <t>Android 1.0</t>
  </si>
  <si>
    <t>Microservice Java 1.0</t>
  </si>
  <si>
    <t>Microservices Golang 1.0</t>
  </si>
  <si>
    <t>Mincroservices NodeJS 1.0</t>
  </si>
  <si>
    <t>Micnroservices Python 1.0</t>
  </si>
  <si>
    <t>SAP-SCP 1.0</t>
  </si>
  <si>
    <t>MuleSoft 1.0</t>
  </si>
  <si>
    <t>SAP Hybris C4C 1.0</t>
  </si>
  <si>
    <t>.Net 1.0</t>
  </si>
  <si>
    <t>AIOps</t>
  </si>
  <si>
    <t>AI fuSIon</t>
  </si>
  <si>
    <t>myWizard2.0</t>
  </si>
  <si>
    <t>ADT Confluence</t>
  </si>
  <si>
    <t>ADT BITBUCKET</t>
  </si>
  <si>
    <t>SI Transforation</t>
  </si>
  <si>
    <t>Others</t>
  </si>
  <si>
    <t>Asset Name</t>
  </si>
  <si>
    <t>myWizard AIOPS</t>
  </si>
  <si>
    <t>DCT Tools</t>
  </si>
  <si>
    <t>Tool 
Integration</t>
  </si>
  <si>
    <t>Delivery Control Tool kit / myPMO</t>
  </si>
  <si>
    <t>SI Tools Blueprint (Platform)</t>
  </si>
  <si>
    <t>iPC Tools</t>
  </si>
  <si>
    <t>Vivek</t>
  </si>
  <si>
    <r>
      <t>COST (</t>
    </r>
    <r>
      <rPr>
        <b/>
        <sz val="11"/>
        <color theme="1"/>
        <rFont val="Calibri"/>
        <family val="2"/>
        <scheme val="minor"/>
      </rPr>
      <t>F</t>
    </r>
    <r>
      <rPr>
        <sz val="11"/>
        <color theme="1"/>
        <rFont val="Calibri"/>
        <family val="2"/>
        <scheme val="minor"/>
      </rPr>
      <t xml:space="preserve">ree / </t>
    </r>
    <r>
      <rPr>
        <b/>
        <sz val="11"/>
        <color theme="1"/>
        <rFont val="Calibri"/>
        <family val="2"/>
        <scheme val="minor"/>
      </rPr>
      <t>S</t>
    </r>
    <r>
      <rPr>
        <sz val="11"/>
        <color theme="1"/>
        <rFont val="Calibri"/>
        <family val="2"/>
        <scheme val="minor"/>
      </rPr>
      <t xml:space="preserve">ubscription / </t>
    </r>
    <r>
      <rPr>
        <b/>
        <sz val="11"/>
        <color theme="1"/>
        <rFont val="Calibri"/>
        <family val="2"/>
        <scheme val="minor"/>
      </rPr>
      <t>O</t>
    </r>
    <r>
      <rPr>
        <sz val="11"/>
        <color theme="1"/>
        <rFont val="Calibri"/>
        <family val="2"/>
        <scheme val="minor"/>
      </rPr>
      <t>ne-off)</t>
    </r>
  </si>
  <si>
    <r>
      <t>Hosting (</t>
    </r>
    <r>
      <rPr>
        <b/>
        <sz val="11"/>
        <color theme="1"/>
        <rFont val="Calibri"/>
        <family val="2"/>
        <scheme val="minor"/>
      </rPr>
      <t>C</t>
    </r>
    <r>
      <rPr>
        <sz val="11"/>
        <color theme="1"/>
        <rFont val="Calibri"/>
        <family val="2"/>
        <scheme val="minor"/>
      </rPr>
      <t>loud/</t>
    </r>
    <r>
      <rPr>
        <b/>
        <sz val="11"/>
        <color theme="1"/>
        <rFont val="Calibri"/>
        <family val="2"/>
        <scheme val="minor"/>
      </rPr>
      <t>O</t>
    </r>
    <r>
      <rPr>
        <sz val="11"/>
        <color theme="1"/>
        <rFont val="Calibri"/>
        <family val="2"/>
        <scheme val="minor"/>
      </rPr>
      <t>n-prem)</t>
    </r>
  </si>
  <si>
    <t>Sean
Emi</t>
  </si>
  <si>
    <t>Tomi
Sean
Kharen</t>
  </si>
  <si>
    <t>Allan
Kharen</t>
  </si>
  <si>
    <t>Tomi</t>
  </si>
  <si>
    <t>Tomi
Allan
Kharen</t>
  </si>
  <si>
    <t>Emi</t>
  </si>
  <si>
    <t>Tomi (MSPS)
Kharen (MSPS)</t>
  </si>
  <si>
    <t>Functional Expert</t>
  </si>
  <si>
    <t>Antoinette
Triloshen
Lehakoe</t>
  </si>
  <si>
    <t>Jenni
Thabang
Lehakoe</t>
  </si>
  <si>
    <t>Sandra
Jenni
Lehakoe</t>
  </si>
  <si>
    <t>Triloshen</t>
  </si>
  <si>
    <t>Antoinette
Jenni</t>
  </si>
  <si>
    <t>Antoinette (MSPS)
Sharon (MSPS)</t>
  </si>
  <si>
    <t>Antoinette
Nirupa
Jenni</t>
  </si>
  <si>
    <t>Both functional/technical expert</t>
  </si>
  <si>
    <t>Charles
Violet
Sachin
Siew Mei</t>
  </si>
  <si>
    <t>Sachin
Jinggay
Parashar</t>
  </si>
  <si>
    <t>Jinggay</t>
  </si>
  <si>
    <t>Violet</t>
  </si>
  <si>
    <t>Parashar
Glen
Anne
Jinggay</t>
  </si>
  <si>
    <t>Parashar (MSPS)</t>
  </si>
  <si>
    <t>Upskilling</t>
  </si>
  <si>
    <t>India</t>
  </si>
  <si>
    <t>Shafiq</t>
  </si>
  <si>
    <t>Charlotte</t>
  </si>
  <si>
    <t>Mori San
Rui Guo</t>
  </si>
  <si>
    <t>Ryosuke</t>
  </si>
  <si>
    <t>Zhang Ye
Jin Hua</t>
  </si>
  <si>
    <t>Libo
Yue Chen</t>
  </si>
  <si>
    <t xml:space="preserve">Arlene
</t>
  </si>
  <si>
    <t>Glai
Cat
Christian</t>
  </si>
  <si>
    <t>Cat
Glai 
Gigi
Arlene</t>
  </si>
  <si>
    <t>Christian</t>
  </si>
  <si>
    <r>
      <t xml:space="preserve">Christian
</t>
    </r>
    <r>
      <rPr>
        <sz val="11"/>
        <color theme="9" tint="0.39997558519241921"/>
        <rFont val="Calibri"/>
        <family val="2"/>
        <scheme val="minor"/>
      </rPr>
      <t>Gigi</t>
    </r>
    <r>
      <rPr>
        <sz val="11"/>
        <color theme="1"/>
        <rFont val="Calibri"/>
        <family val="2"/>
        <scheme val="minor"/>
      </rPr>
      <t xml:space="preserve">
</t>
    </r>
  </si>
  <si>
    <t xml:space="preserve">Christian
Rommel (Testing component)
</t>
  </si>
  <si>
    <t>Rommel</t>
  </si>
  <si>
    <t>Rommel
Gigi
Christian</t>
  </si>
  <si>
    <r>
      <t xml:space="preserve">Gigi
</t>
    </r>
    <r>
      <rPr>
        <sz val="11"/>
        <color theme="9" tint="0.39997558519241921"/>
        <rFont val="Calibri"/>
        <family val="2"/>
        <scheme val="minor"/>
      </rPr>
      <t>Rommel
Christian</t>
    </r>
  </si>
  <si>
    <r>
      <t xml:space="preserve">Gigi
</t>
    </r>
    <r>
      <rPr>
        <sz val="11"/>
        <color theme="9" tint="0.39997558519241921"/>
        <rFont val="Calibri"/>
        <family val="2"/>
        <scheme val="minor"/>
      </rPr>
      <t>Rommel</t>
    </r>
  </si>
  <si>
    <t>Cat</t>
  </si>
  <si>
    <t>Christian
Rommel</t>
  </si>
  <si>
    <t>Gigi</t>
  </si>
  <si>
    <t>Cat (MSPS)</t>
  </si>
  <si>
    <r>
      <t xml:space="preserve">Christian
Gigi
</t>
    </r>
    <r>
      <rPr>
        <sz val="11"/>
        <color theme="9" tint="0.39997558519241921"/>
        <rFont val="Calibri"/>
        <family val="2"/>
        <scheme val="minor"/>
      </rPr>
      <t>Rommel</t>
    </r>
  </si>
  <si>
    <t>Christian
Cat
Rommel
Gigi</t>
  </si>
  <si>
    <t>Cat
Gigi
Christian</t>
  </si>
  <si>
    <t>Cat
Rommel</t>
  </si>
  <si>
    <t>Christian
Gigi</t>
  </si>
  <si>
    <t>Global</t>
  </si>
  <si>
    <t>Priya</t>
  </si>
  <si>
    <t>Process Area</t>
  </si>
  <si>
    <t>Name</t>
  </si>
  <si>
    <t>Delivery Challenges</t>
  </si>
  <si>
    <t>Features</t>
  </si>
  <si>
    <t>Benefits</t>
  </si>
  <si>
    <t>Cost</t>
  </si>
  <si>
    <t>AO/IO/SI/All</t>
  </si>
  <si>
    <t>Implementation time</t>
  </si>
  <si>
    <t>Engagement Challenges</t>
  </si>
  <si>
    <t>Use case</t>
  </si>
  <si>
    <t xml:space="preserve">Overall feedback </t>
  </si>
  <si>
    <t xml:space="preserve">Requested </t>
  </si>
  <si>
    <t>Yes</t>
  </si>
  <si>
    <t>Administrative</t>
  </si>
  <si>
    <t>Bulk Email Sender</t>
  </si>
  <si>
    <t>Lack of tool that helps create number of identical emails for multiple recipients is tedious task and error prone. Survey mailers, feedback gathering or mass communication over email consumes lot of efforts affecting user’s productivity.</t>
  </si>
  <si>
    <t xml:space="preserve">One e-mail templated to be drafted to send bulk e-mails at once; 
Individual e-mails automatically drafted as updated in the inputs provided;
Display option available to further customize each e-mail as required; 
Separate input sheet for easy customization of e-mails. 
</t>
  </si>
  <si>
    <t xml:space="preserve">This quick PMO utility tool helps delivery team to use for sending bulk emails at one go redoing their 70% of efforts on drafting individual emails and sending them one by one instead of mass release. This tool has Excel input sheet which brings an easy way of sending auto mailers to an individual or group of people with desired subject, body, attachment/s etc. with just a click of a button without using Microsoft Outlook. </t>
  </si>
  <si>
    <t xml:space="preserve">No Cost; No configuration required; 
Easily installable. </t>
  </si>
  <si>
    <t>TBC</t>
  </si>
  <si>
    <t>Requestor can't find the date of request</t>
  </si>
  <si>
    <t>Manually updating each e-mail template to suit each user requirement; 
Possibility of human error while sending multiple e-mails; 
Time consuming activity as e-mail needs to separately drafted and customized;</t>
  </si>
  <si>
    <t xml:space="preserve">Drafting and sending e-mail in bulks; 
Customize e-mails according to project/user requirement. </t>
  </si>
  <si>
    <t>Feedback 1: In some instances it worked and in other instances it took me a little more time to figure out what the problem was, hence I continued to do it manually</t>
  </si>
  <si>
    <t>No</t>
  </si>
  <si>
    <t>File Consolidator Tool</t>
  </si>
  <si>
    <t xml:space="preserve">Considerable human effort spent in collating and combining various excel sheets.  Heavy dependency on human involvement makes the activity vulnerable to errors. </t>
  </si>
  <si>
    <t xml:space="preserve">Information Not Available </t>
  </si>
  <si>
    <t>File Consolidator is an MS Excel based tool that can save up to 85% of manual effort spent thru its function to consolidate multiple workbooks and sheets from different excel files. The tool can reflect all the collected spreadsheets into one file</t>
  </si>
  <si>
    <t>No cost</t>
  </si>
  <si>
    <t>Awaiting Feedback</t>
  </si>
  <si>
    <t>Org Chart Generator</t>
  </si>
  <si>
    <t xml:space="preserve">Designing an org chart layout is always challenging to get the best view.  Keeping the existing org chart updated all time can be difficult. </t>
  </si>
  <si>
    <t xml:space="preserve">Creating chart for organization or team; 
Selection of org chart type design layout;
Reduce manual effort spent up to 80%. </t>
  </si>
  <si>
    <t>Org Chart Generator a tool that can reduce manual effort spent up to 80% by utilizing its features on creating charts for organizations or team. The tool has a configuration sheet that the user can input names, roles and IDs that will automatically recognized and generated into excel formatted charts.</t>
  </si>
  <si>
    <t xml:space="preserve">No license costs associated; 
Easy to configure; 
Minimal customization efforts. </t>
  </si>
  <si>
    <t>1 working day</t>
  </si>
  <si>
    <t xml:space="preserve">Designing an org chart layout; 
Updating existing org chart; 
Real time reporting. </t>
  </si>
  <si>
    <t xml:space="preserve">Creation of organizational chart; 
Data maintenance; 
Project structure updates; 
Reporting. </t>
  </si>
  <si>
    <t>Feedback 1: We haven’t used it at the project level, but during testing it made a lot of things easy to accomplish
Feedback 2: I requested the tool but due to time constraints and too much red tape on their side I never used it and had to do the org chart I had to do at the time manually to meet my deadline.  I had a WBS to provide and everything but what stood in the way was the fact that I was not able to utilize it timeously</t>
  </si>
  <si>
    <t>MyTE: WBS Authorization Bot</t>
  </si>
  <si>
    <t xml:space="preserve">WBSs Authorization list allows PMOs to turn on/off Authorisation lists in MyTE.  This task can take a lot of human effort and extremely repetitive.  An updated WBS authorization list is a key component of good PMO practices. </t>
  </si>
  <si>
    <t xml:space="preserve">RPA Solution for myTe WBS Management. The tool can change the "Authorization" status of a WBS to enable or not a custom list of resources to the WBS to avoid the mischarges from resources that should not charge to a specific WBS. </t>
  </si>
  <si>
    <t>ACP WBSE Bulk update</t>
  </si>
  <si>
    <t>Incorrect WBSE tagging leads to incorrect booking of cost against wrong WBSE impacting financial issues.  Cost reversal due to incorrect charging to a specific WBSE is a time driven activity.  Performing WBSE update into ACP is most time consuming and error prone activity</t>
  </si>
  <si>
    <t xml:space="preserve">Works in the background; 
Only enterprise ID and WBSE is required; 
Shows status if the change was done or not which can help in determining if WBSE is valid or not. </t>
  </si>
  <si>
    <t>This Robot is built to bulk update WBS data to Accenture Capacity Planning site. A resource list is validated based on the project which they are working on.  Then based on the projects, the WBSe is checked.  Once validation is done, the “Update WBSe” button is clicked to initiate the VBA macro. The macro runs for all the resources and updates the WBSe on Capacity planning website. In case of an error the macro marks the resource status as not done</t>
  </si>
  <si>
    <t>No license cost associated; Easy to configure; 
Minimal customization efforts</t>
  </si>
  <si>
    <t>Real time updates in the tool for reporting purpose; 
Bulk upload had a delay of one day for validating WBSE; 
Manually updating WBSE one by one for each resource.</t>
  </si>
  <si>
    <t>Identify and update WBSE for resources in Accenture Capacity Planning Tool</t>
  </si>
  <si>
    <t>N/A</t>
  </si>
  <si>
    <t xml:space="preserve">Charge Code Lookup </t>
  </si>
  <si>
    <t>Chargecode lookup is a web application where project can see the closure status of their Charge Codes.  There is no report view where one can see the status of ALL the charge codes, Status can only be seen for single charge code at any point of time.  Projects having charge codes in 100s in numbers must spend manual efforts to extract the status</t>
  </si>
  <si>
    <t xml:space="preserve">Charge Code look-up is a UI Based Automation that helps you to extract the status of all the charge codes in a given list; This runs in Chrome, enabling faster execution taking a few seconds to extract a record status; 
Runs in the background mode enabling user to work on other activities; Is a very fast and reliable solution
</t>
  </si>
  <si>
    <t>UI Based Automation helps you to extract the status of all the charge codes in a given list. This runs in background mode and is fast in speed and reliable with no cost involved in it.</t>
  </si>
  <si>
    <t xml:space="preserve">No third-party license cost associated; East to deploy and configure; No specific system requirements
</t>
  </si>
  <si>
    <t xml:space="preserve">Charge code look-up is a web application where project can see the closure status and other details of their charge codes; There is no report view where one can see the status of ALL the charge codes.  Status can only be seen for a single charge code at any point of time; Projects having charge codes in 1000s numbers must search one charge code at a time to extract the exact status; This is once in fortnight activity and is person dependent. </t>
  </si>
  <si>
    <t>Extracting and tracking the closure status and other details of charge code</t>
  </si>
  <si>
    <t xml:space="preserve">JIRA - Ageing Report Generator </t>
  </si>
  <si>
    <t>No visual representation of JIRA ageing tickets for projects that doesn’t have access on JIRA reports</t>
  </si>
  <si>
    <t>Automatically generates simplified status reports coming from JIRA extracts; 
Accuracy and completeness of data needed; Can reduce manual effort spent up to 85%; 
Displays risks and issues data with useful slicers</t>
  </si>
  <si>
    <t xml:space="preserve">JIRA Ageing Report Generator is a tool that helps engagements save up to 85% of manual effort spent. The tool can generate simplified reports coming from a JIRA extract, it displays the risk and issue data with useful slicers for ease of use. </t>
  </si>
  <si>
    <t>No license associated costs; Easy to configure; 
Minimal customization efforts</t>
  </si>
  <si>
    <t xml:space="preserve">Manual generation of report; Human error; Real time reporting. </t>
  </si>
  <si>
    <t>Preparation/Generation of status reports</t>
  </si>
  <si>
    <t xml:space="preserve">MyTE:WBS Add/Delete </t>
  </si>
  <si>
    <t>WBSs Authorization list allows PMOs to filter who can charge on different periods to a project WBS.  This task can take a lot of human effort and prone to human errors.  An updated WBS authorization list is a key component of good PMO practices</t>
  </si>
  <si>
    <t>RPA Solution for myTE WBS Management. The tool can add or remove resources from a WBS authorization list in myTE to avoid the mischarges from resources that should not charge to a specific WBS</t>
  </si>
  <si>
    <t xml:space="preserve">Outlook Profile Extractor </t>
  </si>
  <si>
    <t>Number of project management activities like maintaining the resource roster, knowing resources levels, contacts etc. involves extracting outlook profiles and currently there is no such feature available in directory services. Multiple profile views are not an option in outlook currently. Considerable time and effort are required for getting outlook profiles extracted</t>
  </si>
  <si>
    <t>Ability to extract multiple user updates at one go; 
Retrieves data in Excel format for easy reporting; 
Least effort taken to pull details in one go</t>
  </si>
  <si>
    <t>Outlook User Profile Extractor is a key delivery asset can be used to extract the demographic information of number of resources on a click of a button, considering resource is a part of Accenture Active Directory. User just needs to simply paste their Enterprise IDs on input screen to get the output in excel file saving 90% of their efforts on manual extraction</t>
  </si>
  <si>
    <t xml:space="preserve">No customization/configuration required;  
Easily installable. </t>
  </si>
  <si>
    <t>No facility to extract profile details directly; 
Only one profile can be seen at one time; 
Extensive user interaction required for retrieving each profile detail; 
Monitoring and time-consuming activity in case multiple user profile update required</t>
  </si>
  <si>
    <t>Extract/Validate resource profile details; 
Maintain updated user profile for reporting purpose; Performing survey</t>
  </si>
  <si>
    <t xml:space="preserve">Outlook Report generator </t>
  </si>
  <si>
    <t>Generating complex structured Emails / Reports is a time-consuming affair and to put everything in email body is a hard task as it requires multiple iterations.</t>
  </si>
  <si>
    <t xml:space="preserve">Easier way of filling-out the details of a templated e-mail; 
Preparing the e-mail is faster; Familiar Excel interface. </t>
  </si>
  <si>
    <t>This tool help engagements achieve up to 80% reduction for effort spent and generate cost savings to the client on Outlook Report generator. It provides a more accurate data at a shorter time and simple operations to create emails</t>
  </si>
  <si>
    <t>No license cost associated; Easy to configure.</t>
  </si>
  <si>
    <t>Tedious task preparing a templated e-mail</t>
  </si>
  <si>
    <t>Sending templated e-mails</t>
  </si>
  <si>
    <t xml:space="preserve">Task Tracker Tool </t>
  </si>
  <si>
    <t>Tracking the tasks of self and team with no organized way leads to quality issues and delays</t>
  </si>
  <si>
    <t>Users will be able to keep track of their own tasks effectively; 
The team leads will be able to monitor their team's task efficiently; 
The team leads can easily assign tasks to their teams; 
Works on web browsers and mobile devices</t>
  </si>
  <si>
    <t>Team Task Tracker tool can help the engagement save up to 95% of manual effort spent. The tool works like a monitor for each resource on their assigned tasks. Leads can easily check the status and see the actual hours of the team. It has a dashboard that gives a summary of the progress of the tasks</t>
  </si>
  <si>
    <t>Minimal customization</t>
  </si>
  <si>
    <t>Ineffective way of tracking own tasks; 
Inefficient way of tracking the team's tasks; Ineffective way of administrating the team's tasks; 
No mobile alternative.</t>
  </si>
  <si>
    <t xml:space="preserve">Tracking of own tasks; 
Tracking of the team's tasks; 
Administrating the team's tasks. </t>
  </si>
  <si>
    <t xml:space="preserve">TMS Cab Scheduling </t>
  </si>
  <si>
    <t xml:space="preserve">Creating a Cab Schedules for large number of resources is a repetitive and time-consuming task.  Projects from different groups (Consulting / Technology / Operations / Services) in ATCi working in Shift does this time-consuming activity on weekly basis. </t>
  </si>
  <si>
    <t>Creates Cab schedule automatically based on input provided; 
Fast and reliable solution; 
Runs in background mode enabling user to work on value added activities</t>
  </si>
  <si>
    <t>TMS Cab Scheduling RPA can help Projects who are working in shifts with large FTE counts must weekly raise a request for scheduling cabs for the resources coming in shifts. This RPA enables projects to help raise the request in bulk</t>
  </si>
  <si>
    <t>No third-party license cost associated; 
Easy to deploy and configure; 
No specific system requirements</t>
  </si>
  <si>
    <t xml:space="preserve">Time consuming and repetitive task;Person dependent task. </t>
  </si>
  <si>
    <t>Creating a Cab schedule for all resources working in shifts</t>
  </si>
  <si>
    <t>Change Management</t>
  </si>
  <si>
    <t xml:space="preserve">Change request creation and tracking; Monitoring; Reporting. </t>
  </si>
  <si>
    <t xml:space="preserve">CRs are managed through a central process; Standard process to ensure consistency; Provides clarity of roles and responsibilities; Efficient reporting. </t>
  </si>
  <si>
    <t xml:space="preserve">No license cost associated; Easy to configure; Minimal customization efforts. </t>
  </si>
  <si>
    <t xml:space="preserve">Multi-level approval follow-up; Lack of single repository; Real time reporting; Frequent follow-up with stakeholders. </t>
  </si>
  <si>
    <t>Finance Management</t>
  </si>
  <si>
    <t>MIMIC - MME Intelligent Management and In-built Configurator</t>
  </si>
  <si>
    <t>Not having regular forecast updated on MME correctly, results into financial instability of the account / project.  Current process of forecasting is very exhaustive and repeated, involves lots of human efforts.  Overall turnaround time is quite high and prone to human errors.</t>
  </si>
  <si>
    <t xml:space="preserve">Resource forecasting; 
Downloading SAP reports; 
Create invoices on ServiceNow; 
It saves up to 80% of manual efforts; 
Intelligent BOT with built Rule Engine to manage functional cases; 
Up to 3 times faster than other licensed RPA tools; 
Provides integrated financial packages. </t>
  </si>
  <si>
    <t xml:space="preserve">MIMIC can help engagements achieve up to 80% effort reduction spent on Management My Engagement (MME) activities. With the MIMIC Bot, MME Operational activities such as forecasting, resource allocation and cost collector assignments are automated and carried out within a click of a button. </t>
  </si>
  <si>
    <t>No costs and no wait time for license; 
Deployable on any user's machine; 
User can work while BOT is in working mode</t>
  </si>
  <si>
    <t xml:space="preserve">Demands intensive human effort to complete; 
High turn-around time; </t>
  </si>
  <si>
    <t xml:space="preserve">Forecasting for every resource in MME from Excel or resource plan; 
Add resources before planning; 
Assign cost to park and entry to forecast entry; 
Download various reports from MME and SAP; 
Create invoice from ServiceNow
</t>
  </si>
  <si>
    <t>MME Reports Extraction</t>
  </si>
  <si>
    <t xml:space="preserve">Its challenging to spend time on report extractions when accounts have multiple contracts.  Requires a lot of effort if the activity is not automated which allows user to receive required extracts on system. </t>
  </si>
  <si>
    <t xml:space="preserve">Generic solution which fits all requirements;
Schedulable report downloading; 
Runs in background allowing user to work on other activities. </t>
  </si>
  <si>
    <t xml:space="preserve">MME Report Extraction helps engagements save up to 80% of efforts of MME report generation. The bot can be scheduled to run off-hours to generate all applicable MME reports (resource trend, forecast trend, cost transaction, WMU summary to name a few). It can be replicated for multiple contracts within MME with zero human intervention, thus reducing significant effort and making the resource deployable to more high-priority tasks. </t>
  </si>
  <si>
    <t xml:space="preserve">No third-party license cost associated; 
Easy deploy and configure; 
No specific system requirements
</t>
  </si>
  <si>
    <t xml:space="preserve">Time consuming and repetitive process involving multiple nodes of MME;
Constraints with report extraction for longer duration. </t>
  </si>
  <si>
    <t>Downloading various reports from MME for financial analysis; 
Cost transaction extract (everything reports); 
Resource trend; 
Forecast trend; 
Resource roster</t>
  </si>
  <si>
    <t>WBS Authorization Process (WAP) Tool</t>
  </si>
  <si>
    <t>Authorization of WBSe to appropriate resource is very critical activity on the account.  Failing to keep WBSe access intact involves unauthorized hours clocking unwanted chargeability on the account leading revenue leakage.  Performing access grant and/or revoke across multiple WBSe and for number of resources requires manual efforts.</t>
  </si>
  <si>
    <t>WBS Authorization Process, ​WAP, a .NET based tool, assists the user achieve up to 60% reduction for effort spent on Granting and Revoking access to multiple WBSe aligned to resource. This helps to keep WBSe list up-to date, remove unauthorize access incidents, and can be start and moved to background automatically within a click of a button.</t>
  </si>
  <si>
    <t>Feedback 1: -	Easy to use and simplified the authorization process which was done manually prior to this. It saved me a lot of time, because I was able to do other things while it ran in the background.</t>
  </si>
  <si>
    <t>Budget Request Management</t>
  </si>
  <si>
    <t>Managing End to End workflow of each budget request requires automated workflow engine to proactivity trigger appropriate action.  Without central repository for budget utilization, its challenging to approve/reject budget request based on its available funding.  Lack of live dashboard to demonstrate expenses, approved, rejected or overdue Budget requests.  Overhead of multiple and repetitive manual communication leading incorrect tracking</t>
  </si>
  <si>
    <t>Enable end user to create, update and track logged requests; Allow user to request finance budget for different types; 
Automatic e-mail notification for requestor and request approvers</t>
  </si>
  <si>
    <t>Budget Request Management tool allows the user to save up to 75% of manual effort spent by utilizing its functions on create, update and track budget request for each project or engagement. This tool has a facility to approve or reject request budget and will serve as approval for the requests.</t>
  </si>
  <si>
    <t>No license cost associated; Minimal customization efforts.</t>
  </si>
  <si>
    <t>Multi-level approval follow-ups; Manual creation of budget request</t>
  </si>
  <si>
    <t>Budget request creation and tracking</t>
  </si>
  <si>
    <t>MyTE Data Collector</t>
  </si>
  <si>
    <t>Extracting myTE information against individual enterprise ID is a cumbersome task.  Overloaded manual effort increases the risk of human errors.</t>
  </si>
  <si>
    <t>Collect all project members' myTE information at once; 
Export information to Excel automatically; 
Reduce human error; Enhance efficient, save effort.</t>
  </si>
  <si>
    <t xml:space="preserve">MyTE Data Collector can help engagements achieve up to 50% reduction for effort spent on myTE data checking and collection. This tool is developed to extract data from myTE based on given parameters like SAP ID. </t>
  </si>
  <si>
    <t xml:space="preserve">Easy configuration process. </t>
  </si>
  <si>
    <t>Collect the project member's myTE information one-by-one; Copy the data from myTE web site to Excel by manual operation.</t>
  </si>
  <si>
    <t xml:space="preserve">Collect the project member's WBS code using situation and time sheet. </t>
  </si>
  <si>
    <t>Automated Invoicing via ServiceNow</t>
  </si>
  <si>
    <t>High volume of invoices to be processed in short span of time.  Heavy manual intervention in overall invoicing process.  Error prone and time consuming due to manual activity. </t>
  </si>
  <si>
    <t xml:space="preserve">Standard process; Data consistency; End-to-end automation with pre-defined manual check points; Enhanced reporting mechanism; Scalable. </t>
  </si>
  <si>
    <t xml:space="preserve">Invoicing Automation can help engagements achieve up to 50% effort reduction in creating Invoicing requests in ServiceNow platform. This open source-based automation reads the input data from excel and creates ServiceNow requests automatically. It also updates the input excel with ServiceNow request number generated for each entry. </t>
  </si>
  <si>
    <t xml:space="preserve"> Easy to configure; Minimal customization efforts; Zero infrastructure costs.  </t>
  </si>
  <si>
    <t>High volume of invoices to be processed in a short span of time; Heavy manual intervention in overall invoicing process.  </t>
  </si>
  <si>
    <t>Preparation of pre-billing requests form data; BRF (Invoice request creation); Draft Invoice Approval; Monitoring and Tracking; Final Invoice Creation; Credit Note Creation</t>
  </si>
  <si>
    <t>Business Development WBD Admin Access BOT</t>
  </si>
  <si>
    <t>Only one Opportunity ID can be used to check authorization status, BD Owner and charge code in myTE in an instance.  Current process of downloading the MMS report, checking BD owner, charge code and auth status by each Opp.ID is very exhaustive and repeated, involves lots of human efforts.  Overall turnaround time is quite high and prone to human errors. </t>
  </si>
  <si>
    <t xml:space="preserve">Captures details of multiple opportunities at a time; Works in the background allowing user to work on other valuable added tasks; Schedulable activity. </t>
  </si>
  <si>
    <t>BD WBS authorization BOT can help engagements achieve up to 80% effort reduction spent on BD spent and control activities. With the BD WBS authorization BOT, BD Management operational activities such as downloading the report from MMS and check BD WBS owner, charge code and authorization status for each Opportunity ID/BD WBS in myTE are automated and carried out within a click of a button. </t>
  </si>
  <si>
    <t xml:space="preserve">No third-party license cost associated; Easy to deploy and configure; No specific system requirements. </t>
  </si>
  <si>
    <t xml:space="preserve">Time consuming and repetitive task as only one opportunity can be verified at a time; Extensive human intervention required. </t>
  </si>
  <si>
    <t>Extract MMS report for all opportunities stage 1 and above; Check authorisation status for each opportunity ID in myTE; Capture WBS owner and charge code in Excel; Raise a biz inquiry request in Service now.  </t>
  </si>
  <si>
    <t>Business Development WBSe Extraction</t>
  </si>
  <si>
    <t>Charge code lookup is a web application where project can see the closure status of their Charge Codes.  There is no report view where one can see the status of ALL the charge codes.  Status can only be seen for single charge code at any point of time.  Projects having charge codes in 100s in numbers must spend manual efforts to extract the status. </t>
  </si>
  <si>
    <t xml:space="preserve">This is an UI based automation tool which helps the project to download the BD list within a few minutes; Divided into two parts:  1st to extract the list; 2nd to extract the list of the authorized list of resources for each BD WBS/Opportunities in their myTE; Runs independently enabling user to work parallel; </t>
  </si>
  <si>
    <t>This tool which is developed in open source comes with no cost, helps project to download the BD List within few minutes. Divided into two parts, first to extract the list; 2nd Part - to extract the list of the authorized list of resources for each BD WBS/ Opportunities in their myTE.  Also, this runs independently enabling user to work parallel.</t>
  </si>
  <si>
    <t xml:space="preserve">There is no functionality or report in myTE which allows project POC to download the list of Business Development WBS authorized to him/her; To extract the Authorisation Resources' list for every BD WBS in myTE; Both these activities are being performed manually and is crucial to maintain; This activity is once a month and is person dependent. </t>
  </si>
  <si>
    <t>Business Development WBS list extraction from myTE site; Business Development Authorisation list extraction from myTe site.  </t>
  </si>
  <si>
    <t>CA Clarity Cost Plan Updates</t>
  </si>
  <si>
    <t>Manually updating cost plan is a time driven activity and error prone. </t>
  </si>
  <si>
    <t>Clarity Cost Plan update Bot aids enterprise, department &amp; PPM support teams /PMO teams achieve up to 70% effort reduction spent on manual transactions done on clarity cost plan. With Clarity Cost plan update Bot, transactional activities such as clarity cost plan creation, updates and submission are automated on a single click and manual intervention is only from control &amp; formalizing input data perspective. </t>
  </si>
  <si>
    <t xml:space="preserve">No third-party license cost associated; Easy to deploy and configure; Minimal customization efforts.  </t>
  </si>
  <si>
    <t>Data Lifter - Shift and On Call Allowance</t>
  </si>
  <si>
    <t>Data Lifter - Involves lots of human effort makes the activity vulnerable for error.  Difficult to manage template updates for multiple resources at a given point of time as finance template has limitations.  Finance team template add-ins cannot be modified and do not allow for copy / paste. </t>
  </si>
  <si>
    <t xml:space="preserve">Increased accuracy and zero human errors; Process runs in the background; PMO effort reduction by 60% by eliminating the transactional activities involved in shift allowance finance update. </t>
  </si>
  <si>
    <t xml:space="preserve">Mass copy and paste in shift allowance finance file is not allowed; Shift on call file has add-ins which we cannot modify; Time consuming process; Prone to human errors. </t>
  </si>
  <si>
    <t xml:space="preserve">Collect the shift allowance data from the leads; Update the shift allowance finance sheet. </t>
  </si>
  <si>
    <t>Expense Management</t>
  </si>
  <si>
    <t>Considerable human effort spent in managing, reconciling and reporting expenses and multiple versions of truth.  Potential risk of revenue leakage and poor quality of financials management.  Invoice rejections and delayed invoicing leading to capital charges.  Human error prone tools with heavy manual interaction and lack of audit trail functionality. </t>
  </si>
  <si>
    <t xml:space="preserve">Workflow enabled process; Web based automated solution; Personalized e-mails and reminders; Automated expense categorization; Automated swift packaging of receipts. PMO efforts reduction up to 80%; Significant reduction in capital charges; </t>
  </si>
  <si>
    <t>SharePoint based Expense Management tool provides effective tracking of expense data for the resources of different projects. This solution is enabled with workflows which send across emails and reminders to the required resources, automatically categorizes the expenses and uses excel as an agent for data transmission.  Further the views embedded in the tool gives the PMO a one page-status view for all the requests and the actions to be initiated and overall introduces effort saving up to 60%. </t>
  </si>
  <si>
    <t xml:space="preserve">Human errors; Potential risks of revenue leakage; Rejection of invoice by client; Delayed invoicing resulting into capital charges. Employees use myTE and Contractors use IQN for expense claims; Travel expense through Travel Portal are outside myReceipts/myTE; Significant manual efforts required to map myReceipts and SAP expense records; Differences between client travel policy and Accenture travel policy (client my reimburse mail expenses but not per diem). </t>
  </si>
  <si>
    <t xml:space="preserve">Collection of Expense Sheets; Follow-up with individuals; Reconciliation of Expense Reports. </t>
  </si>
  <si>
    <t>MIMIC_MME Intelligent Management and In-built Configurator</t>
  </si>
  <si>
    <t>Not having regular forecast updated on MME correctly, results into financial instability of the account / project.  Current process of forecasting is very exhaustive and repeated, involves lots of human efforts.  Overall turnaround time is quite high and prone to human errors. </t>
  </si>
  <si>
    <t xml:space="preserve">Resource forecasting; Downloading SAP reports; Create invoices on ServiceNow; It saves up to 80% of manual efforts; Intelligent BOT with built Rule Engine to manage functional cases; Up to 3 times faster than other licensed RPA tools; Provides integrated financial packages. </t>
  </si>
  <si>
    <t>MIMIC can help engagements achieve up to 80% effort reduction spent on Management My Engagement (MME) activities. With the MIMIC Bot, MME Operational activities such as forecasting, resource allocation and cost collector assignments are automated and carried out within a click of a button. </t>
  </si>
  <si>
    <t xml:space="preserve">No costs and no wait time for license; Deployable on any user's machine; User can work while BOT is in working mode. </t>
  </si>
  <si>
    <t xml:space="preserve">Demands intensive human effort to complete; High turn-around time; </t>
  </si>
  <si>
    <t xml:space="preserve">Forecasting for every resource in MME from Excel or resource plan; Add resources before planning; Assign cost to park and entry to forecast entry; Download various reports from MME and SAP; Create invoice from ServiceNow. </t>
  </si>
  <si>
    <t>myTE_WBS Authorisation List On-Off</t>
  </si>
  <si>
    <t>WBSs Authorization list allows PMOs to turn on/off Authorisation lists in MyTE.  This task can take a lot of human effort and extremely repetitive.  An updated WBS authorization list is a key component of good PMO practices. </t>
  </si>
  <si>
    <t>RPA Solution for myTe WBS Management. The tool can change the "Authorization" status of a WBS to enable or not a custom list of resources to the WBS to avoid the mischarges from resources that should not charge to a specific WBS. </t>
  </si>
  <si>
    <t>On-call and Shift Allowance Report Generator</t>
  </si>
  <si>
    <t>Data collection of Shift allowance is not uniform, some resources send allowance details on e-mail and some send it on Skype messages.  PMO enter shift allowance data of all resources in IDC On call Shift allowance excel sheet one by one which is a tedious and time-consuming process as sheet has lots of validation and takes long time for entering data of one resource. No single repository for tracking all the allowances submitted. </t>
  </si>
  <si>
    <t>End to end automation process. </t>
  </si>
  <si>
    <t>An MS Access tool that serves as an effective database solution to keeping track of information pertaining to on-call and shift allowances of resources. This tool has a potential of up to 60% savings on manual effort spent. </t>
  </si>
  <si>
    <t xml:space="preserve">Financial implications:  Any incorrect WBSE/Data for any resource in shift allowance template being inaccurately billed to projects; Shift allowance template processing time leads to resource idle time; Tedious and time consuming. </t>
  </si>
  <si>
    <t>Manually validating and submitting on-call shift allowance data for around 200 resources using Shift allowance template. </t>
  </si>
  <si>
    <t>Shift and On call Management</t>
  </si>
  <si>
    <t>When resource does this process manually he/she needs to connect with everyone, do follow-ups to collect and combine required data. With this SharePoint solution leads can directly update the information on one Sharepoint platform depending on the access given so that manual efforts are minimized. </t>
  </si>
  <si>
    <t>An Excel tool that can provide an end-to-end solution in managing a shift and on call management system. This solution encompasses from collecting data about shift allowances to providing approvals/rejections. This tool has a potential of up to 70% savings on manual effort spent. </t>
  </si>
  <si>
    <t>Resource Management</t>
  </si>
  <si>
    <t>AD Group DL Management Tool</t>
  </si>
  <si>
    <t>Distribution Lists not being up-to-date results into unwanted communications/CDP compliance issues.  Existing Distribution List update process involves mundane transactional activities and requires lots of human efforts.  Lack of report from online portal leads to reconciliation errors of members v/s DL groups.</t>
  </si>
  <si>
    <t>Automatic sync up of DLS; Submit multiple DL updates at one go; Schedule DL updates as per project convenience; Allows user to work independently on other tasks.</t>
  </si>
  <si>
    <t>AD group Management tool helps the account/projects to maintain and keep their distribution list updated irrespective of resource roll on/off, restructuring and resource ramp up/down activities. It helps delivery users reducing their efforts around 70% to perform DL updates with minimal human intervention and multiple DL updates (grant/revoke access) is managed in a single run, giving value add to accounts/projects. Additionally, this tool also help user to extract a report to know users under particular / group of DLs and use can also schedule a job of updating distribution List on the portal</t>
  </si>
  <si>
    <t xml:space="preserve">No customization or configuration required; 
Easily installable. </t>
  </si>
  <si>
    <t>Only one DL can be updated at a time on the portal; Extensive user interaction required for performing deal group changes; Manual reconciliation of enterprise IDS post updates; 
Overall time-consuming activity in case multiple DLS update required</t>
  </si>
  <si>
    <t xml:space="preserve">Maintain distribution groups across projects and contractors; 
Validation of roll-on/roll-off for appropriate deal authorisation; 
Grant/revoke access. </t>
  </si>
  <si>
    <t>MME Roster Update</t>
  </si>
  <si>
    <t>Many projects maintain their Resource Roster in MME.  For Large resource count engagement, it is necessary to keep their roaster updated with right details like OBU, Roll On / Roll Off Dates, Supervisor Date, Status, Work Location.  There is no bulk update available and it is very time consuming to update every field on the Roster</t>
  </si>
  <si>
    <t xml:space="preserve">MME Roster update is a UI automation, which allows user to bulk update all these Roster details on MME; 
This runs in Chrome enabling faster updating taking a few seconds to update a record; 
Runs in background mode enabling user to work on other activities; 
Is a very fast and reliable solution. </t>
  </si>
  <si>
    <t xml:space="preserve">MME Roster Update is open source tool, which allows user to bulk update all these Roster Details on MME. This runs in chrome enabling faster updates taking few seconds to update a record. This comes with no cost and developed to help projects to save their manual efforts being spent </t>
  </si>
  <si>
    <t>No third-party license cost associated; 
Easy to deploy and configure; 
No specific system requirements.</t>
  </si>
  <si>
    <t>Many projects maintain their Resource Roster in MME.  For large number of resource engagements, it is necessary to keep their roster updated with the correct details like OBU, roll-on/roll-off dates, supervisor date, status, and work location.  There is no bulk update available and it is very time consuming to update these fields for every resource on the Roster. 
The activity is daily and is person dependent.</t>
  </si>
  <si>
    <t>Adding the new rolled-on resources in the MME roster; 
Updating already rolled-on resource details in the MME roster</t>
  </si>
  <si>
    <t>Access Management</t>
  </si>
  <si>
    <t>Lack of effective Access Management process leading to unauthorized access to account assets and logistics.  Error prone due to heavy manual interaction and lack of audit trail functionality.  Overhead of multiple and repetitive manual communication leading incorrect tracking. </t>
  </si>
  <si>
    <t>Automated e-mail to all stakeholders
Real time monitoring and tracking of requests on dashboard
Real time data to reporting at global level</t>
  </si>
  <si>
    <t>Real time data to reporting at global level</t>
  </si>
  <si>
    <t>This solution will require the effort of 45 hours with the cost estimate of $540.</t>
  </si>
  <si>
    <t>Communication overhead and follow-ups with multiple points of contacts
Difficulty in keeping track of requests and SLAs
Lack of real time data reporting at global level</t>
  </si>
  <si>
    <t>Tracking, monitoring and reporting resource access</t>
  </si>
  <si>
    <t xml:space="preserve">Active Directory_Clean and Sync </t>
  </si>
  <si>
    <t>Maintenance of distribution lists is a task that takes a lot of human effort without value added. Having the distributions lists up to date is a key factor in a work group to communicate effectively. The person in charge of this process can dedicate this time into more analysis required tasks. </t>
  </si>
  <si>
    <t>The tool has the feature to clean an entire Distribution list and/or add a list of users.</t>
  </si>
  <si>
    <t>RPA Solution for Active Directory groups management.  The tool has the feature to clean an entire Distribution list and/or add a list of users. This tool is extremely useful for a PMO that needs to maintain communication groups in a project team. The tool allows to update distribution lists in a few seconds without errors. </t>
  </si>
  <si>
    <t>CDP RORO Roll-on_Roll-off_ACL Update</t>
  </si>
  <si>
    <t>Lack of effective Access Management process leading to unauthorized access to account assets and logistics. Error prone due to heavy manual interaction and lack of audit trail functionality.  Overhead of multiple and repetitive manual communication leading incorrect tracking.</t>
  </si>
  <si>
    <t>Does ACL updates through RPA saving manual efforts
Runs in background mode enabling user to work on other activities
Consistent and accurate in updating details</t>
  </si>
  <si>
    <t>A central platform which caters to Identify &amp; access management, it acts as a single UI where users can request access for themselves or their team member rather than chasing teams and POC over basic communication medium. These solutions help reduce people dependency and ensure hassle free access to tools for end users in their ecosystem with a potential of reducing traction &amp; follow up effort up to 60% at multiple level. </t>
  </si>
  <si>
    <t>No third-party license and cost required</t>
  </si>
  <si>
    <t>Demand and Resource Management</t>
  </si>
  <si>
    <t>Lack of holistic solution for Demand and Resource Management leading to inconsistent reporting. Overhead of multiple and repetitive communication. Multiple sources of Resource and Demand information leading to redundancy of data. Human error prone tools with heavy manual interaction and lack of audit trail functionality. Lack of traceability in Demand and Resource reporting. </t>
  </si>
  <si>
    <t xml:space="preserve">It gives real time availability and information
Defined process (cater to project life cycle management requirements in a defined process and customize view for your projects); 
User friendly dashboards
Reduce maintenance efforts (turn-around time of activities); 
Reduce e-mail and tracking;
Interface with other tools.
</t>
  </si>
  <si>
    <t>This RTC/JIRA based solution covers resource life cycle from creation of Demand, converting it into Resource and execution of Roll On and Roll Off activities. It acts like a single repository for all demand and resource related information and tracks it on various parameters for ease of reporting. An engagement can save up to 60% manual efforts spent in this process in follow ups, rework, reconciliation and reporting.</t>
  </si>
  <si>
    <t>Contact Suvarna Koppiker or Sachin Kalgude </t>
  </si>
  <si>
    <t xml:space="preserve">Different tracker formats;
No standard workflow; 
Standalone Excel trackers
Huge size of the files
Maintaining multiple versions of files
Difficulty in understanding activities to be done
</t>
  </si>
  <si>
    <t>Headcount Analysis Tool</t>
  </si>
  <si>
    <t>Considerable human effort spent in managing, reconciling and reporting headcount reports/analysis.  Heavy dependency on human involvement makes the activity vulnerable to errors.  Real-time reporting is one of the biggest challenges. </t>
  </si>
  <si>
    <t>Automatically generates variance report of headcount between previous and current
Accuracy and completeness of data needed; 
Can reduce manual effort spent up to 90%</t>
  </si>
  <si>
    <t>This tool quickly helps engagement identify the variance of headcount between existing and new resource files, thus helping maintain the accurate and real-time team headcount list. </t>
  </si>
  <si>
    <t>No license cost associated</t>
  </si>
  <si>
    <t xml:space="preserve">Manual generation of report;
Human error; 
Real time reporting. 
</t>
  </si>
  <si>
    <t>MME Set_Uo_Authorisd User List Extraction</t>
  </si>
  <si>
    <t>In MME application, There is no direct provision for extraction of authorized user list. Contract structures are complex, so take more time in extraction and huge manual efforts are required. </t>
  </si>
  <si>
    <t>The bot will extract all the authorized user access details in one go and work in unattended mode as well. There is no limit on providing the contract numbers in input excel sheet. </t>
  </si>
  <si>
    <t>myScheduling_Demand Generator</t>
  </si>
  <si>
    <t>Generation of Roles in MyScheduling is a key task of any new project to find the correct people for the project on time.  The generation of roles in MyScheduling is a task that requires a lot of manual effort.  Usually MyScheduling Website cannot work properly for human interaction, the RPA can solve this issue.  The time saved with this automation can be used in more analysis required tasks. </t>
  </si>
  <si>
    <t xml:space="preserve">Up to 85% Annual savings;
Zero human errors; 
No human interactions; 
100% Less monotonous and manual work; 
Increase productivity; 
Logs saved for future reference; 
Recently deployed by HR to upload 200 roles.
</t>
  </si>
  <si>
    <t>RPA Solution for the demand generation in MyS. The tool can generate new roles (Staffing roles) in MyScheduling from a demand template (Excel) file. This task is critical for a PMO and for a Project that needs to keep track on time of the new opportunities. </t>
  </si>
  <si>
    <t>Sales.automation@accenture.com</t>
  </si>
  <si>
    <t>PMO Command Centre</t>
  </si>
  <si>
    <t>Manual processing of resource management services.  Different sources of data and multiple files to be maintained.  Involves coordination with various roles.  Access to Resource Management information is not readily available.</t>
  </si>
  <si>
    <t xml:space="preserve"> Master Roster;
On-Boarding/Roll-on;
Off-Boarding/Roll-off; 
Resource Management Reports; 
Supply and Demand;
Leave Tracker; 
CPC Simulation; 
Forecast variance report. 
</t>
  </si>
  <si>
    <t xml:space="preserve">
Improve productivity; 
Once source of truth; 
Easily accessible; 
Organized data.
</t>
  </si>
  <si>
    <t>Multiple sources of resource information leading to redundancy of data. Human error prone tools with heavy manual interaction and lack of audit trail functionality. Delays in Resource Roll On activities due to lack of effective process resulting into loss of productivity. Lack of accuracy in management reporting. Overhead of multiple and repetitive communication. </t>
  </si>
  <si>
    <t xml:space="preserve">
Resource management data is managed through a central tool; 
Standard process to ensure consistency; 
Efficient reporting
</t>
  </si>
  <si>
    <t>This RTC/JIRA based Resource Management solution helps engagement reduce up to 70% efforts in Resource life cycle management activities. It covers end to end process related to on-boarding and off-boarding activities for a resource on a program and eliminates manual activities thus ensuring accuracy and faster turn-around time. It acts like a single repository for all resource related information and tracks the headcount by Engagement, Release, locations, Levels etc. An engagement can save up to 70% manual efforts spent in this process in follow ups, rework, reconciliation and reporting. </t>
  </si>
  <si>
    <t xml:space="preserve">
No license required; 
</t>
  </si>
  <si>
    <t>Lack of single repository;
Real time reporting;
Tracking roll-on/off activities require frequent follow-ups.</t>
  </si>
  <si>
    <t>Risk and Issues</t>
  </si>
  <si>
    <t>Due to large volume of ticket data and different type of ticket sources that various from project to project, it takes time to migrate data to the myWizard ticket template and then to upload it to myWizard. </t>
  </si>
  <si>
    <t>This tool is highly configurable and gives flexibility to configure different types of ticket templates for any client, engagement project and within project multiple responsibilities; One can schedule generation of myWizard ticket dump and upload to myWizard without any human intervention.</t>
  </si>
  <si>
    <t>This enables projects to upload their ticket data multiple times in a day instead of weekly.</t>
  </si>
  <si>
    <t>No third-party license cost associated;  Easy deply and cofigure; No specific system requirements</t>
  </si>
  <si>
    <t>Migrate and upload project's L1/L2 incidents, problems, service requests and tasks to myWizard ticket template; </t>
  </si>
  <si>
    <t>Migrate and upload project's L1/L2 incidents, problems, service requests and tasks to myWizard ticket template; This is a mandatory task to be done multiple times a day</t>
  </si>
  <si>
    <t>Risk and Issue Management</t>
  </si>
  <si>
    <t xml:space="preserve">Multiple versions of error prone trackers; Lack of single repository; Real time reporting prone trackers; </t>
  </si>
  <si>
    <t>Efficient data tracking at single repository; Real time availability of information; Role based reporting</t>
  </si>
  <si>
    <t>Standardized process; </t>
  </si>
  <si>
    <t xml:space="preserve">No license costs associated; Easy to configure; Minimal customization efforts. </t>
  </si>
  <si>
    <t>Multiple versions of error prone trackers; Lack of single repository; Real time reporting prone trackers; Frequent follow-up with the stakeholders.</t>
  </si>
  <si>
    <t>Risk and Issue creation and tracking; Monitoring; Reporting.</t>
  </si>
  <si>
    <t>Service Management</t>
  </si>
  <si>
    <t xml:space="preserve">This tool is highly configurable and gives flexibility to configure different types of ticket templates for any client, engagement project and within project multiple responsibilities;
Configuration can be done for any type of ticket source dumps (Accenture Snow, Client Snow, Remedy, ITSM, Altavista, etc.); 
One can schedule generation of myWizard ticket dump and upload to myWizard without any human intervention.
This enables projects to upload their ticket data multiple times in a day instead of weekly. 
  </t>
  </si>
  <si>
    <t xml:space="preserve">
No third-party license associated; 
</t>
  </si>
  <si>
    <t xml:space="preserve">
Due to large volume of ticket data and different type of ticket sources that various from project to project, it takes time to migrate data to the myWizard ticket template and then to upload it to myWizard. 
</t>
  </si>
  <si>
    <t>Tracking &amp; Reporting</t>
  </si>
  <si>
    <t>Action Management</t>
  </si>
  <si>
    <t>Generating Plan on a Page</t>
  </si>
  <si>
    <t xml:space="preserve">Delayed updates in planning tool by various stakeholders; Need of precise placement of milestones on timescale; Time consuming manual activity resulting in POAP generation with outdated information. </t>
  </si>
  <si>
    <t xml:space="preserve">Improved productivity by eliminating manual intervention in generating Plan on a Page; Representation of up to date information; BOT can be extended to any planning tool; Eliminates dependency on PMO for report generation. </t>
  </si>
  <si>
    <t xml:space="preserve">Follow-up with Stakeholders to update milestone status in planning tool; Extract milestone data from planning tool; Put each milestone in template as per timelines. </t>
  </si>
  <si>
    <t>MME Report extraction</t>
  </si>
  <si>
    <t>Its challenging to spend time on report extractions when accounts have multiple contracts.Requires lots of efforts if the activity is not automated which allows user to receive required extracts on system.</t>
  </si>
  <si>
    <t>Generic solution which fits all requirements; Scheduling report downloading</t>
  </si>
  <si>
    <t>MME Report Extraction helps engagements save upto 80% of efforts of MME report generation. The bot can be scheduled to run off-hours to generate all applicable MME reports (resource trend, forecast trend, cost transaction, WMU summary to name a few). It can be replicated for multiple contracts within MME with zero human intervention, thus reducing significant effort and making the resource deployable to more high-priority tasks.</t>
  </si>
  <si>
    <t>Time consuming and repetitive process involving multiple nodes of MME; Constraints with report extraction for longer duration</t>
  </si>
  <si>
    <t>Downloading various reports from MME for financial analysis; cost transaction extract; report trend; forecast trend; resource roaster</t>
  </si>
  <si>
    <t>Work Plan Management</t>
  </si>
  <si>
    <t>MS Project Server vs myTE Reconciliation</t>
  </si>
  <si>
    <t>Having effort data in different systems not matching causes the revenue leakage for Program. </t>
  </si>
  <si>
    <t xml:space="preserve">
Dynamic and encompasses multiple time management systems (myTE, IQN, MSPS (Microsoft Project Server), FIELDGLASS, CLARITY, etc.)
Analyse data at varying levels of granularity (per day, per WBS code, per project); 
Built-in automation can generate report and distribute high volumes of individual chaser mails; 
Flexible and customizable. 
</t>
  </si>
  <si>
    <t>Reconciliation Report helps to analyse and Reconcile the effort data submitted in different systems. This Macro will accept 3 inputs files to perform the Reconciliation, MyTE.</t>
  </si>
  <si>
    <t xml:space="preserve">
No license cost associated; 
</t>
  </si>
  <si>
    <t xml:space="preserve">
Missed revenue, impacted CI and inaccurate reporting of time spent to clients; 
Low visibility of resource time entries leads to unauthorized actuals submission and unwanted chargeability; 
Manually effort regularly managing, reconciling, chasing up resourcing a reporting actuals. 
</t>
  </si>
  <si>
    <t>Planning Management</t>
  </si>
  <si>
    <t xml:space="preserve">
Lack of single source of truth. Real time reporting. Multiple follow ups required to be informed on - Milestones/activities progress. Multiple versions of plan with different stakeholders. </t>
  </si>
  <si>
    <t xml:space="preserve">
Milestones/activities are managed through a central process; 
Standard process to ensure consistency; 
Real and efficient reporting; 
Subscriber functionality which informs any change done on the item. 
</t>
  </si>
  <si>
    <t xml:space="preserve">
Managing planning process using RTC/JIRA ensures milestones/activities are managed through a central process. The tool obliges that standard process is followed hence achieves operational consistency.  RTC managed planning enables Realtime &amp; Efficient Reporting is available on dashboards. Also, subscriber functionality informs user for any changes done on the items.  </t>
  </si>
  <si>
    <t>No license cost associated;</t>
  </si>
  <si>
    <t xml:space="preserve">
Lack of single source of truth; 
Real time reporting; 
Multiple follow-ups required to be informed on - Milestones and activities progress.
Multiple versions of plan with different stakeholders. 
</t>
  </si>
  <si>
    <t>Managed Service</t>
  </si>
  <si>
    <t>Locally Hosted</t>
  </si>
  <si>
    <t>ADT Component</t>
  </si>
  <si>
    <t>pricing</t>
  </si>
  <si>
    <t>Docu link</t>
  </si>
  <si>
    <t>Governance, reports, finance, predictive analytics</t>
  </si>
  <si>
    <t>Atlassian Bitbucket</t>
  </si>
  <si>
    <t>Ci CD</t>
  </si>
  <si>
    <t xml:space="preserve">	SDL Machine Translation Cloud is a cloud platform for real-time statistical machine translation of user forums, chat, email, blogs, and support content. Key features are: SaaS based language translation - 100+ language pairs, Easy to use application, Ready-made integrations (MS Office and Salesforce), Direct integration via API, Custom dictionary and glossary support.</t>
  </si>
  <si>
    <t>https://in.accenture.com/accenturedeliverysuite/sdl-machine-translation-cloud/</t>
  </si>
  <si>
    <t>Sprint planning, , automated, requirements user stories, auto code config</t>
  </si>
  <si>
    <t>Atlassian JIRA</t>
  </si>
  <si>
    <t>Refer to ADOP pricing/Atlassian</t>
  </si>
  <si>
    <t>Optimization, self healing, codeless test</t>
  </si>
  <si>
    <t>Atlassian Confluence</t>
  </si>
  <si>
    <t>Collaboration tools</t>
  </si>
  <si>
    <t>$8 | Free for multi-tenant</t>
  </si>
  <si>
    <t>https://ts.accenture.com/:w:/r/sites/ADSLibrary/_layouts/15/Doc.aspx?sourcedoc=%7B854BEF46-5A71-45D1-93BA-1EE95FBBAEBB%7D&amp;action=view&amp;source=https%3A%2F%2Fts.accenture.com%2Fsites%2FADSLibrary%2FSitePages%2FTools.aspx</t>
  </si>
  <si>
    <t xml:space="preserve">autmated monitoring, analytics, cloud covernance, infra, virualization, </t>
  </si>
  <si>
    <t>Testing automation</t>
  </si>
  <si>
    <t>Ticket resolution,  classification, Vas</t>
  </si>
  <si>
    <t>Lean, waste reduction, process optimization</t>
  </si>
  <si>
    <t xml:space="preserve">	Axure RP is a requirements simulation tool used to create wireframes and interactive prototypes.</t>
  </si>
  <si>
    <t>$8.75/user/month</t>
  </si>
  <si>
    <t>https://in.accenture.com/accenturedeliverysuite/?page_id=8533</t>
  </si>
  <si>
    <t>Analyze requirements - generate glosarry of terms, compliance checks. Auto generates test artefacts from reqts</t>
  </si>
  <si>
    <t>https://ts.accenture.com/:w:/r/sites/ADSLibrary/_layouts/15/Doc.aspx?sourcedoc=%7B42514E11-E73B-4336-B4DB-780D5593DFBB%7D&amp;action=view&amp;source=https%3A%2F%2Fts.accenture.com%2Fsites%2FADSLibrary%2FSitePages%2FTools.aspx%23InplviewHash52b2385f-234c-4f3f-aaaa-0d7c89cee0a1%3DSortField%253DADS_x005F_x0020_Release-SortDir%253DDesc-WebPartID%253D%257B52B2385F--234C--4F3F--AAAA--0D7C89CEE0A1%257D</t>
  </si>
  <si>
    <t>Accenture Knowledge Navigator is a knowledge management and collaboration tool built on MS SharePoint 2016. It provides a common data store, platform and process for client-based knowledge management and collaboration activities, enabling integrated service operations and accelerated problem resolution.</t>
  </si>
  <si>
    <t>https://ts.accenture.com/:p:/r/sites/ADSLibrary/_layouts/15/Doc.aspx?sourcedoc=%7BEC1B0C94-41C0-4D16-897E-03E280FDC636%7D&amp;action=view&amp;source=https%3A%2F%2Fts.accenture.com%2Fsites%2FADSLibrary%2FSitePages%2FTools.aspx%23InplviewHash52b2385f-234c-4f3f-aaaa-0d7c89cee0a1%3DSortField%253DADS_x005F_x0020_Release-SortDir%253DDesc-WebPartID%253D%257B52B2385F--234C--4F3F--AAAA--0D7C89CEE0A1%257D</t>
  </si>
  <si>
    <t>ServiceNow is a Software as a Service (SaaS) platform that supports service management functions and automates common business processes. It is used for end-to-end incident, problem, change, release, configuration and knowledge management activities and provides a single system of record and single point of entry with one user interface and data model for IT governance.</t>
  </si>
  <si>
    <t>Refer to ADT SPG</t>
  </si>
  <si>
    <t>https://in.accenture.com/accenturedeliverysuite/?page_id=8616</t>
  </si>
  <si>
    <t>COLLECT AND ANALYZE OPERATIONS DATA TO REPORT ON PERFORMANCE AGAINST CONTRACTUAL SERVICE LEDVELVS TO CLIENTS. Hosted in azure east HA and DR</t>
  </si>
  <si>
    <t>Global Business Intelligence (GBI) collects and analyzes operations data to generate knowledge and value for infrastructure services. Online reporting of performance against service levels enables operations teams and clients to view performance on contractual service levels.</t>
  </si>
  <si>
    <t>Snow portal</t>
  </si>
  <si>
    <t>https://in.accenture.com/accenturedeliverysuite/adt-lps-servicenow-service-portal-employee-self-service-portal-overview/</t>
  </si>
  <si>
    <t>Microsoft Project provides capabilities across the entire lifecycle to help organizations effectively initiate, select, plan and deliver projects on time and within budget that consists components: The Microsoft Project Professional (MSPP) which is used for work plan creation and maintenance, the Microsoft Project Server (MSPS) which is used for time entry and reporting, and the MSPS Extensions such as reports and playbooks which are used to expand standard microsoft project functionality.</t>
  </si>
  <si>
    <t>https://in.accenture.com/accenturedeliverysuite/?page_id=8606</t>
  </si>
  <si>
    <t>No documentation</t>
  </si>
  <si>
    <t>Hexawise (Vendor Hosted)</t>
  </si>
  <si>
    <t xml:space="preserve">	Hexawise is a statistical test design tool designed to identify the optimal test coverage that can be achieved by the minimum number of test cases. (This tool will be discontinued on October 31, 2020).</t>
  </si>
  <si>
    <t>https://in.accenture.com/accenturedeliverysuite/?page_id=8567</t>
  </si>
  <si>
    <t>PCS Innovation Hub</t>
  </si>
  <si>
    <t>Visit PCS Innovation HuB</t>
  </si>
  <si>
    <t>Visit PCS Delivery Control Asset Inventory</t>
  </si>
  <si>
    <t>myWizard AI fuSIon</t>
  </si>
  <si>
    <t>Wiki</t>
  </si>
  <si>
    <t>myWizard AIOps</t>
  </si>
  <si>
    <t>Portal</t>
  </si>
  <si>
    <t>Monitoring (AO/IO)</t>
  </si>
  <si>
    <t>myPMO</t>
  </si>
  <si>
    <t>Delivery Fundamental</t>
  </si>
  <si>
    <t>ADS</t>
  </si>
  <si>
    <t>SI Transfomation</t>
  </si>
  <si>
    <t>Axure RP</t>
  </si>
  <si>
    <t>?</t>
  </si>
  <si>
    <t>AKN</t>
  </si>
  <si>
    <t>Global Business Intelligence</t>
  </si>
  <si>
    <t>Microsoft Project</t>
  </si>
  <si>
    <t>Service Now</t>
  </si>
  <si>
    <t xml:space="preserve">Christian
</t>
  </si>
  <si>
    <r>
      <rPr>
        <sz val="11"/>
        <color theme="1"/>
        <rFont val="Calibri"/>
        <family val="2"/>
        <scheme val="minor"/>
      </rPr>
      <t>Christian</t>
    </r>
    <r>
      <rPr>
        <sz val="11"/>
        <color theme="7" tint="0.79998168889431442"/>
        <rFont val="Calibri"/>
        <family val="2"/>
        <scheme val="minor"/>
      </rPr>
      <t xml:space="preserve">
</t>
    </r>
  </si>
  <si>
    <t xml:space="preserve">Rumel
</t>
  </si>
  <si>
    <t>Suzuki San, Tonegawa San</t>
  </si>
  <si>
    <t>Comparison Criteria</t>
  </si>
  <si>
    <t>ADT Rational</t>
  </si>
  <si>
    <t>ADT Atlassian (In Pilot)</t>
  </si>
  <si>
    <t>ADOP M (Accenture cloud)</t>
  </si>
  <si>
    <t>ADOP via myPMO</t>
  </si>
  <si>
    <t>Atlassian Cloud hosted</t>
  </si>
  <si>
    <t>Notes</t>
  </si>
  <si>
    <t>Pros</t>
  </si>
  <si>
    <t>•	Self deployable via GetADT ( 2 day SLA)
•	Pre defined issue types and workflows included
•	Lowest cost option for an Accenture hosted tools only solution
•	Integrated with myWizard for SI and MSP
•	Includes add ons (xray, Bitbucket)
•	Online step by step guides provided for all workflows</t>
  </si>
  <si>
    <t>•	Fast deployement (hours not days)
•	Supports Accenture best practices for continuous integration and delivery (DevOps)
•	Many additional managed services, tools, technology specific configurations and customizations available with other ADOP service offerings (at additional cost)
•	immediately useable components, pre-configured with Accenture’s Automation blueprints</t>
  </si>
  <si>
    <t>Cons</t>
  </si>
  <si>
    <t>Clients need Accenture EID</t>
  </si>
  <si>
    <t>$8 per user per month for Jira / Confluence and other add ons as they are released</t>
  </si>
  <si>
    <t>Basic collaboration bundle (Jira / Confluence only) based on No. of users. (1-10 users = $308, 11-100 users = $800, &gt;100 users = $1478) per month.  A development bundle with additional open source tools also available at extra cost</t>
  </si>
  <si>
    <t>Which Tool to deploy on a project??</t>
  </si>
  <si>
    <t>Best Fit Scenarios</t>
  </si>
  <si>
    <t>Project requires a simple low cost tools solution with pre built worklfows based on Accenture methods for typical PMO and ALM activities (Scrum/Canban boards, waterfall, AO)</t>
  </si>
  <si>
    <t>Project requires a continuous delivery and integration DevOps solution</t>
  </si>
  <si>
    <t>Project requires standard workflows using ADOP M</t>
  </si>
  <si>
    <t>Project has client users and does not want to provide them Accenture EIDs for access to Accenture hosted tools.</t>
  </si>
  <si>
    <t>Work Types</t>
  </si>
  <si>
    <t>Agile</t>
  </si>
  <si>
    <t>Epic</t>
  </si>
  <si>
    <t>Feature</t>
  </si>
  <si>
    <t>Story</t>
  </si>
  <si>
    <t>Defect/Bug</t>
  </si>
  <si>
    <t>Task</t>
  </si>
  <si>
    <t>Sub-task</t>
  </si>
  <si>
    <t>Impediment</t>
  </si>
  <si>
    <t>Retrospective</t>
  </si>
  <si>
    <t>PI</t>
  </si>
  <si>
    <t>SI Waterfall</t>
  </si>
  <si>
    <t>Scope Change</t>
  </si>
  <si>
    <t>Risk</t>
  </si>
  <si>
    <t>Issue</t>
  </si>
  <si>
    <t>Deliverable</t>
  </si>
  <si>
    <t>Milestone</t>
  </si>
  <si>
    <t>AO</t>
  </si>
  <si>
    <t>Work Request</t>
  </si>
  <si>
    <t>Cross AO/SI/Agile workflows</t>
  </si>
  <si>
    <t>Partial</t>
  </si>
  <si>
    <t>Analysis</t>
  </si>
  <si>
    <t>Review/Signoff</t>
  </si>
  <si>
    <t>Contractual Assessment</t>
  </si>
  <si>
    <t xml:space="preserve">Project configuration </t>
  </si>
  <si>
    <t>Hide non-relevant work types</t>
  </si>
  <si>
    <t>Hide non-relevant fields</t>
  </si>
  <si>
    <t>Individual user configured only</t>
  </si>
  <si>
    <t>Project specific additional fields</t>
  </si>
  <si>
    <t>Yes 
(xx per work type)</t>
  </si>
  <si>
    <t>Yes
(9 across all work types (for pilot))</t>
  </si>
  <si>
    <t>Relabel/reposition project specific additional fields</t>
  </si>
  <si>
    <t>Project specific mandatory fields</t>
  </si>
  <si>
    <t>Project specific drop down values</t>
  </si>
  <si>
    <t>Yes - specific fields</t>
  </si>
  <si>
    <t>Project customisation</t>
  </si>
  <si>
    <t>Via approved team at cost</t>
  </si>
  <si>
    <t>Project self-host</t>
  </si>
  <si>
    <t>ADT hosted dedicated instance</t>
  </si>
  <si>
    <t>Planned - Q2/3 at cost</t>
  </si>
  <si>
    <t>Reporting - standard</t>
  </si>
  <si>
    <t>In-built charts
User queries</t>
  </si>
  <si>
    <t>Reporting - advanced</t>
  </si>
  <si>
    <t>myWizard 
Rational Report Builder</t>
  </si>
  <si>
    <t xml:space="preserve">Planned FY20 Q3
myWizard &amp;PowerBI </t>
  </si>
  <si>
    <t>Users</t>
  </si>
  <si>
    <t>User Management</t>
  </si>
  <si>
    <t>Support Ticket
Project managed AD groups</t>
  </si>
  <si>
    <t>Project managed AD Groups
Support Ticket</t>
  </si>
  <si>
    <t>Development</t>
  </si>
  <si>
    <t>Requirements Management</t>
  </si>
  <si>
    <t>Extensive</t>
  </si>
  <si>
    <t>Basic</t>
  </si>
  <si>
    <t>RDNG is a tool dedicated to the RM processes, so a Jira/Confluence comparison will highlight less capabilities</t>
  </si>
  <si>
    <t>Test Planning and Execution</t>
  </si>
  <si>
    <t>Yes - Xray plugin</t>
  </si>
  <si>
    <t>IDE</t>
  </si>
  <si>
    <t>Eclipse</t>
  </si>
  <si>
    <t>Source Control Management</t>
  </si>
  <si>
    <t>Yes 
(Jazz Source Control)</t>
  </si>
  <si>
    <t>Planned - FY20 Q2
(BitBucket (GIT based))</t>
  </si>
  <si>
    <t>Continuous Integration/deployment/delivery</t>
  </si>
  <si>
    <t xml:space="preserve">
Planned TBC - (Bamboo)</t>
  </si>
  <si>
    <t>Behaviour Driven Development</t>
  </si>
  <si>
    <t xml:space="preserve">
Planned TBC (Cucumber)</t>
  </si>
  <si>
    <t>MSPS Integration</t>
  </si>
  <si>
    <t>Planned - FY20 Q3</t>
  </si>
  <si>
    <t>ServiceNow Integration</t>
  </si>
  <si>
    <t>Usage of the integration was minimal.  Currently not planned or prioritised</t>
  </si>
  <si>
    <t>myWizard integration ("FDS" release)</t>
  </si>
  <si>
    <t>myWizard integration ("Phoenix" release)</t>
  </si>
  <si>
    <t xml:space="preserve">Planned - FY20 Q4 </t>
  </si>
  <si>
    <t>IM Integration</t>
  </si>
  <si>
    <t>Other</t>
  </si>
  <si>
    <t>Mobile app</t>
  </si>
  <si>
    <t>More Information (Useful Links)</t>
  </si>
  <si>
    <t>https://in.accenture.com/devops/
https://alm.accenture.com/wiki/display/ATW/Pricing</t>
  </si>
  <si>
    <t>https://alm.accenture.com/wiki/display/ATLASSIAN/Jira
https://www.atlassian.com/software/jira/pricing</t>
  </si>
  <si>
    <t>Key contacts (AAPAC)</t>
  </si>
  <si>
    <t>Max Value</t>
  </si>
  <si>
    <t>1. Please confirm the services in scope for th contract</t>
  </si>
  <si>
    <t>&lt;&gt;0</t>
  </si>
  <si>
    <t>Delivery Scope</t>
  </si>
  <si>
    <t>HD1</t>
  </si>
  <si>
    <t>HD2</t>
  </si>
  <si>
    <t>Bug Fix</t>
  </si>
  <si>
    <t>Application Operation</t>
  </si>
  <si>
    <t>Design</t>
  </si>
  <si>
    <t>Develop</t>
  </si>
  <si>
    <t>Test</t>
  </si>
  <si>
    <t>Score</t>
  </si>
  <si>
    <t>Index</t>
  </si>
  <si>
    <t>Deploy</t>
  </si>
  <si>
    <t>Max</t>
  </si>
  <si>
    <t>Project and Service Mg</t>
  </si>
  <si>
    <t>Actual</t>
  </si>
  <si>
    <t>Infrastructure Operations</t>
  </si>
  <si>
    <t>Planned</t>
  </si>
  <si>
    <t>2. Please report FY21 start adoption level and FY21 End Planned Adoption Level</t>
  </si>
  <si>
    <t>Level</t>
  </si>
  <si>
    <t>Actual Adoption Level</t>
  </si>
  <si>
    <t>Planned Adoption Level</t>
  </si>
  <si>
    <t>Adoption Type</t>
  </si>
  <si>
    <t>Base Value</t>
  </si>
  <si>
    <t>Actual Score</t>
  </si>
  <si>
    <t>Planned Score</t>
  </si>
  <si>
    <t>Early Adoption</t>
  </si>
  <si>
    <t xml:space="preserve">myWizard AiOps </t>
  </si>
  <si>
    <t>L</t>
  </si>
  <si>
    <t>Not Used</t>
  </si>
  <si>
    <t>A</t>
  </si>
  <si>
    <t>Full</t>
  </si>
  <si>
    <t>myWizard Core</t>
  </si>
  <si>
    <t>Intelligent Analysis, Design &amp; Build</t>
  </si>
  <si>
    <t>Custom Automation</t>
  </si>
  <si>
    <t xml:space="preserve">Local Asset </t>
  </si>
  <si>
    <t>Commercial Tool</t>
  </si>
  <si>
    <t>Cloud Native</t>
  </si>
  <si>
    <t>Environment / Service Virtualization</t>
  </si>
  <si>
    <t>Automated Security / Vulnerability Testing</t>
  </si>
  <si>
    <t>Device/Omni Channel Testing</t>
  </si>
  <si>
    <t>Dropped</t>
  </si>
  <si>
    <t>If…</t>
  </si>
  <si>
    <t>OR this..</t>
  </si>
  <si>
    <t>Then…</t>
  </si>
  <si>
    <t>Automated Software Release</t>
  </si>
  <si>
    <t>Continuous QA &amp; Integration</t>
  </si>
  <si>
    <t>Continuous Testing</t>
  </si>
  <si>
    <t>Infra-as-code</t>
  </si>
  <si>
    <t>AI for Software Engineering</t>
  </si>
  <si>
    <t>Automation for software engineering</t>
  </si>
  <si>
    <t>Proactive Monitoring</t>
  </si>
  <si>
    <t>Maintenance and Operations</t>
  </si>
  <si>
    <t>Proactive Business Data Monitoring</t>
  </si>
  <si>
    <t>Profitability Protection</t>
  </si>
  <si>
    <t>Agile Development</t>
  </si>
  <si>
    <t>Artificial Intelligence for Root Cause Analysis</t>
  </si>
  <si>
    <t>Root Cause Analysis</t>
  </si>
  <si>
    <t>Automated Software Quality &amp; SCM</t>
  </si>
  <si>
    <t>Intelligent Data Curation</t>
  </si>
  <si>
    <t>Robotic Process Automation</t>
  </si>
  <si>
    <t>Cognitive Robotic Automation (AI)</t>
  </si>
  <si>
    <t>Program &amp; Service Management</t>
  </si>
  <si>
    <t>Descriptive Analytics</t>
  </si>
  <si>
    <t>Automatic Metrics Monitoring &amp; Tracking</t>
  </si>
  <si>
    <t>PMO Automation</t>
  </si>
  <si>
    <t>Predictive Analytics</t>
  </si>
  <si>
    <t>Testing Automation</t>
  </si>
  <si>
    <t>Omni Channel Testing</t>
  </si>
  <si>
    <t>Intelligent Tickets Processing</t>
  </si>
  <si>
    <t>Chabots</t>
  </si>
  <si>
    <t>Waste Eradication &amp; Process Optimization</t>
  </si>
  <si>
    <t>Infrastructure Operation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</si>
</sst>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font>
      <sz val="11"/>
      <color theme="1"/>
      <name val="Calibri"/>
      <family val="2"/>
      <scheme val="minor"/>
    </font>
    <font>
      <sz val="11"/>
      <color theme="1"/>
      <name val="Calibri"/>
      <family val="2"/>
      <scheme val="minor"/>
    </font>
    <font>
      <sz val="11"/>
      <color rgb="FF006100"/>
      <name val="Calibri"/>
      <family val="2"/>
      <scheme val="minor"/>
    </font>
    <font>
      <sz val="11"/>
      <color rgb="FF9C57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000000"/>
      <name val="Calibri"/>
      <family val="2"/>
    </font>
    <font>
      <sz val="16"/>
      <color theme="1"/>
      <name val="Calibri"/>
      <family val="2"/>
      <scheme val="minor"/>
    </font>
    <font>
      <b/>
      <sz val="11"/>
      <color rgb="FF006100"/>
      <name val="Calibri"/>
      <family val="2"/>
      <scheme val="minor"/>
    </font>
    <font>
      <b/>
      <sz val="11"/>
      <color theme="0"/>
      <name val="Calibri"/>
      <family val="2"/>
      <scheme val="minor"/>
    </font>
    <font>
      <b/>
      <sz val="14"/>
      <color theme="1"/>
      <name val="Calibri"/>
      <family val="2"/>
      <scheme val="minor"/>
    </font>
    <font>
      <b/>
      <sz val="11"/>
      <name val="Calibri"/>
      <family val="2"/>
      <scheme val="minor"/>
    </font>
    <font>
      <sz val="11"/>
      <name val="Calibri"/>
      <family val="2"/>
      <scheme val="minor"/>
    </font>
    <font>
      <sz val="11"/>
      <color rgb="FF000000"/>
      <name val="Calibri"/>
      <family val="2"/>
      <scheme val="minor"/>
    </font>
    <font>
      <b/>
      <sz val="12"/>
      <color theme="1"/>
      <name val="Calibri"/>
      <family val="2"/>
      <scheme val="minor"/>
    </font>
    <font>
      <sz val="11"/>
      <color rgb="FF0A0A0A"/>
      <name val="Calibri"/>
      <family val="2"/>
      <scheme val="minor"/>
    </font>
    <font>
      <u/>
      <sz val="11"/>
      <color theme="10"/>
      <name val="Calibri"/>
      <family val="2"/>
      <scheme val="minor"/>
    </font>
    <font>
      <b/>
      <sz val="24"/>
      <color theme="0"/>
      <name val="Calibri"/>
      <family val="2"/>
      <scheme val="minor"/>
    </font>
    <font>
      <sz val="24"/>
      <color theme="0"/>
      <name val="Calibri"/>
      <family val="2"/>
      <scheme val="minor"/>
    </font>
    <font>
      <b/>
      <sz val="11"/>
      <color rgb="FFFF0000"/>
      <name val="Calibri"/>
      <family val="2"/>
      <scheme val="minor"/>
    </font>
    <font>
      <sz val="11"/>
      <color theme="9" tint="0.39997558519241921"/>
      <name val="Calibri"/>
      <family val="2"/>
      <scheme val="minor"/>
    </font>
    <font>
      <b/>
      <sz val="7"/>
      <color theme="0"/>
      <name val="Calibri"/>
      <family val="2"/>
      <scheme val="minor"/>
    </font>
    <font>
      <sz val="11"/>
      <color theme="7" tint="0.79998168889431442"/>
      <name val="Calibri"/>
      <family val="2"/>
      <scheme val="minor"/>
    </font>
    <font>
      <b/>
      <sz val="11"/>
      <color theme="5"/>
      <name val="Calibri"/>
      <family val="2"/>
      <scheme val="minor"/>
    </font>
    <font>
      <b/>
      <sz val="11"/>
      <color rgb="FFFFFFFF"/>
      <name val="Calibri"/>
      <family val="2"/>
      <scheme val="minor"/>
    </font>
    <font>
      <b/>
      <sz val="7"/>
      <color rgb="FF000000"/>
      <name val="Calibri"/>
      <family val="2"/>
      <scheme val="minor"/>
    </font>
    <font>
      <sz val="8"/>
      <color rgb="FF000000"/>
      <name val="Graphik Web"/>
    </font>
    <font>
      <b/>
      <i/>
      <sz val="11"/>
      <color theme="1"/>
      <name val="Calibri"/>
      <family val="2"/>
      <scheme val="minor"/>
    </font>
    <font>
      <i/>
      <sz val="11"/>
      <color theme="1"/>
      <name val="Calibri"/>
      <family val="2"/>
      <scheme val="minor"/>
    </font>
    <font>
      <u/>
      <sz val="8"/>
      <color theme="10"/>
      <name val="Calibri"/>
      <family val="2"/>
      <scheme val="minor"/>
    </font>
    <font>
      <b/>
      <sz val="16"/>
      <color theme="1"/>
      <name val="Calibri"/>
      <family val="2"/>
      <scheme val="minor"/>
    </font>
    <font>
      <sz val="11"/>
      <color rgb="FFFF0000"/>
      <name val="Calibri"/>
      <family val="2"/>
      <scheme val="minor"/>
    </font>
  </fonts>
  <fills count="30">
    <fill>
      <patternFill patternType="none"/>
    </fill>
    <fill>
      <patternFill patternType="gray125"/>
    </fill>
    <fill>
      <patternFill patternType="solid">
        <fgColor rgb="FFC6EFCE"/>
      </patternFill>
    </fill>
    <fill>
      <patternFill patternType="solid">
        <fgColor rgb="FFFFEB9C"/>
      </patternFill>
    </fill>
    <fill>
      <patternFill patternType="solid">
        <fgColor theme="0"/>
        <bgColor indexed="64"/>
      </patternFill>
    </fill>
    <fill>
      <patternFill patternType="solid">
        <fgColor rgb="FF00B050"/>
        <bgColor indexed="64"/>
      </patternFill>
    </fill>
    <fill>
      <patternFill patternType="solid">
        <fgColor rgb="FFFFFF99"/>
        <bgColor indexed="64"/>
      </patternFill>
    </fill>
    <fill>
      <patternFill patternType="solid">
        <fgColor rgb="FFCCCC00"/>
        <bgColor indexed="64"/>
      </patternFill>
    </fill>
    <fill>
      <patternFill patternType="solid">
        <fgColor rgb="FF00B0F0"/>
        <bgColor indexed="64"/>
      </patternFill>
    </fill>
    <fill>
      <patternFill patternType="solid">
        <fgColor rgb="FF009900"/>
        <bgColor indexed="64"/>
      </patternFill>
    </fill>
    <fill>
      <patternFill patternType="solid">
        <fgColor theme="4" tint="0.39997558519241921"/>
        <bgColor indexed="64"/>
      </patternFill>
    </fill>
    <fill>
      <patternFill patternType="solid">
        <fgColor theme="2"/>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5"/>
        <bgColor indexed="64"/>
      </patternFill>
    </fill>
    <fill>
      <patternFill patternType="solid">
        <fgColor rgb="FFEEEEEE"/>
        <bgColor indexed="64"/>
      </patternFill>
    </fill>
    <fill>
      <patternFill patternType="solid">
        <fgColor rgb="FFFFFFFF"/>
        <bgColor indexed="64"/>
      </patternFill>
    </fill>
    <fill>
      <patternFill patternType="solid">
        <fgColor theme="1"/>
        <bgColor indexed="64"/>
      </patternFill>
    </fill>
    <fill>
      <patternFill patternType="solid">
        <fgColor theme="8"/>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rgb="FFFFFF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rgb="FF000000"/>
      </left>
      <right/>
      <top style="thin">
        <color rgb="FF000000"/>
      </top>
      <bottom/>
      <diagonal/>
    </border>
    <border>
      <left style="thin">
        <color indexed="64"/>
      </left>
      <right style="thin">
        <color rgb="FF000000"/>
      </right>
      <top style="thin">
        <color rgb="FF000000"/>
      </top>
      <bottom/>
      <diagonal/>
    </border>
    <border>
      <left style="thin">
        <color rgb="FF000000"/>
      </left>
      <right/>
      <top style="thin">
        <color indexed="64"/>
      </top>
      <bottom/>
      <diagonal/>
    </border>
    <border>
      <left style="thin">
        <color indexed="64"/>
      </left>
      <right style="thin">
        <color rgb="FF000000"/>
      </right>
      <top style="thin">
        <color indexed="64"/>
      </top>
      <bottom/>
      <diagonal/>
    </border>
    <border>
      <left style="thin">
        <color rgb="FF000000"/>
      </left>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right style="thin">
        <color indexed="64"/>
      </right>
      <top/>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7" fillId="0" borderId="0" applyNumberFormat="0" applyFill="0" applyBorder="0" applyAlignment="0" applyProtection="0"/>
  </cellStyleXfs>
  <cellXfs count="389">
    <xf numFmtId="0" fontId="0" fillId="0" borderId="0" xfId="0"/>
    <xf numFmtId="0" fontId="0" fillId="0" borderId="0" xfId="0" applyAlignment="1">
      <alignment horizontal="center"/>
    </xf>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4" fillId="0" borderId="2" xfId="0" applyFont="1" applyBorder="1" applyAlignment="1">
      <alignment horizontal="left" vertical="center"/>
    </xf>
    <xf numFmtId="0" fontId="4" fillId="4" borderId="1" xfId="0" applyFont="1" applyFill="1" applyBorder="1" applyAlignment="1">
      <alignment vertical="center" wrapText="1"/>
    </xf>
    <xf numFmtId="0" fontId="0" fillId="0" borderId="1" xfId="0" applyBorder="1"/>
    <xf numFmtId="0" fontId="0" fillId="4" borderId="1" xfId="0" applyFill="1" applyBorder="1" applyAlignment="1">
      <alignment vertical="center"/>
    </xf>
    <xf numFmtId="0" fontId="6" fillId="4" borderId="1" xfId="0" applyFont="1" applyFill="1" applyBorder="1" applyAlignment="1">
      <alignment vertical="center"/>
    </xf>
    <xf numFmtId="0" fontId="0" fillId="5" borderId="1" xfId="0" applyFill="1" applyBorder="1" applyAlignment="1">
      <alignment horizontal="center"/>
    </xf>
    <xf numFmtId="0" fontId="0" fillId="6" borderId="3" xfId="0" applyFill="1" applyBorder="1" applyAlignment="1">
      <alignment horizontal="center" vertical="center"/>
    </xf>
    <xf numFmtId="0" fontId="0" fillId="4" borderId="3" xfId="0" applyFill="1" applyBorder="1" applyAlignment="1">
      <alignment horizontal="center" vertical="center"/>
    </xf>
    <xf numFmtId="0" fontId="0" fillId="7" borderId="1" xfId="0" applyFill="1" applyBorder="1" applyAlignment="1">
      <alignment horizontal="center"/>
    </xf>
    <xf numFmtId="0" fontId="0" fillId="8" borderId="1" xfId="0" applyFill="1" applyBorder="1" applyAlignment="1">
      <alignment horizontal="center"/>
    </xf>
    <xf numFmtId="0" fontId="0" fillId="6" borderId="1" xfId="0" applyFill="1" applyBorder="1" applyAlignment="1">
      <alignment horizontal="center" vertical="center"/>
    </xf>
    <xf numFmtId="0" fontId="0" fillId="0" borderId="1" xfId="0" applyBorder="1" applyAlignment="1">
      <alignment horizontal="center" vertical="center"/>
    </xf>
    <xf numFmtId="0" fontId="0" fillId="4" borderId="1" xfId="0" applyFill="1" applyBorder="1" applyAlignment="1">
      <alignment vertical="center" wrapText="1"/>
    </xf>
    <xf numFmtId="0" fontId="7" fillId="4" borderId="1" xfId="0" applyFont="1" applyFill="1" applyBorder="1" applyAlignment="1">
      <alignment vertical="center"/>
    </xf>
    <xf numFmtId="1" fontId="4" fillId="0" borderId="1" xfId="0" applyNumberFormat="1" applyFont="1" applyBorder="1" applyAlignment="1">
      <alignment horizontal="center"/>
    </xf>
    <xf numFmtId="0" fontId="8" fillId="0" borderId="0" xfId="0" applyFont="1" applyAlignment="1">
      <alignment vertical="center"/>
    </xf>
    <xf numFmtId="0" fontId="0" fillId="6" borderId="1" xfId="0" applyFill="1" applyBorder="1" applyAlignment="1">
      <alignment horizontal="left" vertical="center"/>
    </xf>
    <xf numFmtId="0" fontId="4" fillId="0" borderId="0" xfId="0" applyFont="1"/>
    <xf numFmtId="164" fontId="5" fillId="7" borderId="4" xfId="0" applyNumberFormat="1" applyFont="1" applyFill="1" applyBorder="1" applyAlignment="1">
      <alignment horizontal="center" vertical="center" wrapText="1"/>
    </xf>
    <xf numFmtId="0" fontId="5" fillId="7" borderId="4" xfId="0" applyFont="1" applyFill="1" applyBorder="1" applyAlignment="1">
      <alignment horizontal="center" vertical="center" wrapText="1"/>
    </xf>
    <xf numFmtId="0" fontId="5" fillId="9" borderId="4" xfId="0" applyFont="1" applyFill="1" applyBorder="1" applyAlignment="1">
      <alignment horizontal="center" vertical="center" wrapText="1"/>
    </xf>
    <xf numFmtId="0" fontId="5" fillId="10" borderId="4" xfId="0" applyFont="1" applyFill="1" applyBorder="1" applyAlignment="1">
      <alignment horizontal="center" vertical="center" wrapText="1"/>
    </xf>
    <xf numFmtId="0" fontId="2" fillId="2" borderId="0" xfId="2"/>
    <xf numFmtId="0" fontId="9" fillId="2" borderId="0" xfId="2" applyFont="1"/>
    <xf numFmtId="0" fontId="4" fillId="0" borderId="1" xfId="0" applyFont="1" applyBorder="1" applyAlignment="1">
      <alignment horizontal="left" vertical="center"/>
    </xf>
    <xf numFmtId="0" fontId="0" fillId="0" borderId="1" xfId="0" applyBorder="1" applyAlignment="1">
      <alignment vertical="center" wrapText="1"/>
    </xf>
    <xf numFmtId="164" fontId="11" fillId="0" borderId="1" xfId="0" applyNumberFormat="1" applyFont="1" applyBorder="1" applyAlignment="1">
      <alignment horizontal="center"/>
    </xf>
    <xf numFmtId="9" fontId="11" fillId="0" borderId="1" xfId="1" applyFont="1" applyBorder="1" applyAlignment="1">
      <alignment horizontal="center"/>
    </xf>
    <xf numFmtId="0" fontId="12" fillId="6" borderId="1" xfId="0" applyFont="1" applyFill="1" applyBorder="1" applyAlignment="1">
      <alignment horizontal="center" vertical="center" wrapText="1"/>
    </xf>
    <xf numFmtId="0" fontId="12" fillId="6" borderId="4" xfId="0" applyFont="1" applyFill="1" applyBorder="1" applyAlignment="1">
      <alignment horizontal="center" vertical="center" wrapText="1"/>
    </xf>
    <xf numFmtId="0" fontId="12" fillId="0" borderId="5" xfId="0" applyFont="1" applyBorder="1" applyAlignment="1">
      <alignment horizontal="center" vertical="center"/>
    </xf>
    <xf numFmtId="0" fontId="12" fillId="2" borderId="1" xfId="2" applyFont="1" applyBorder="1" applyAlignment="1">
      <alignment horizontal="center" vertical="center"/>
    </xf>
    <xf numFmtId="0" fontId="12" fillId="2" borderId="1" xfId="2" applyFont="1" applyBorder="1" applyAlignment="1">
      <alignment horizontal="center" vertical="center" wrapText="1"/>
    </xf>
    <xf numFmtId="0" fontId="0" fillId="4" borderId="0" xfId="0" applyFill="1"/>
    <xf numFmtId="0" fontId="13" fillId="6" borderId="1" xfId="3" applyFont="1" applyFill="1" applyBorder="1" applyAlignment="1">
      <alignment horizontal="center" vertical="center"/>
    </xf>
    <xf numFmtId="0" fontId="4" fillId="0" borderId="1" xfId="0" applyFont="1" applyBorder="1" applyAlignment="1">
      <alignment vertical="center"/>
    </xf>
    <xf numFmtId="0" fontId="0" fillId="0" borderId="0" xfId="0" applyAlignment="1">
      <alignment vertical="center"/>
    </xf>
    <xf numFmtId="0" fontId="4" fillId="4" borderId="8" xfId="0" applyFont="1" applyFill="1" applyBorder="1" applyAlignment="1">
      <alignment horizontal="center" vertical="center" wrapText="1"/>
    </xf>
    <xf numFmtId="0" fontId="5" fillId="4" borderId="0" xfId="0" applyFont="1" applyFill="1" applyAlignment="1">
      <alignment horizontal="center"/>
    </xf>
    <xf numFmtId="0" fontId="0" fillId="4" borderId="0" xfId="0" applyFill="1" applyAlignment="1">
      <alignment horizontal="center"/>
    </xf>
    <xf numFmtId="164" fontId="11" fillId="4" borderId="0" xfId="0" applyNumberFormat="1" applyFont="1" applyFill="1" applyAlignment="1">
      <alignment horizontal="center"/>
    </xf>
    <xf numFmtId="9" fontId="11" fillId="4" borderId="0" xfId="1" applyFont="1" applyFill="1" applyBorder="1" applyAlignment="1">
      <alignment horizontal="center"/>
    </xf>
    <xf numFmtId="0" fontId="0" fillId="0" borderId="9" xfId="0" applyBorder="1"/>
    <xf numFmtId="0" fontId="13" fillId="0" borderId="1" xfId="0" applyFont="1" applyBorder="1" applyAlignment="1">
      <alignment horizontal="center"/>
    </xf>
    <xf numFmtId="0" fontId="12" fillId="11" borderId="1" xfId="2" applyFont="1" applyFill="1" applyBorder="1" applyAlignment="1">
      <alignment horizontal="center" vertical="center"/>
    </xf>
    <xf numFmtId="0" fontId="13" fillId="11" borderId="1" xfId="0" applyFont="1" applyFill="1" applyBorder="1" applyAlignment="1">
      <alignment horizontal="center"/>
    </xf>
    <xf numFmtId="164" fontId="11" fillId="4" borderId="1" xfId="0" applyNumberFormat="1" applyFont="1" applyFill="1" applyBorder="1" applyAlignment="1">
      <alignment horizontal="center"/>
    </xf>
    <xf numFmtId="0" fontId="15" fillId="10" borderId="1" xfId="0" applyFont="1" applyFill="1" applyBorder="1"/>
    <xf numFmtId="0" fontId="14" fillId="0" borderId="1" xfId="0" applyFont="1" applyBorder="1"/>
    <xf numFmtId="0" fontId="16" fillId="0" borderId="1" xfId="0" applyFont="1" applyBorder="1"/>
    <xf numFmtId="0" fontId="0" fillId="0" borderId="10" xfId="0" applyBorder="1" applyAlignment="1">
      <alignment vertical="center"/>
    </xf>
    <xf numFmtId="0" fontId="14" fillId="0" borderId="10" xfId="0" applyFont="1" applyBorder="1"/>
    <xf numFmtId="0" fontId="0" fillId="0" borderId="10" xfId="0" applyBorder="1"/>
    <xf numFmtId="0" fontId="0" fillId="0" borderId="1" xfId="0" applyBorder="1" applyAlignment="1">
      <alignment wrapText="1"/>
    </xf>
    <xf numFmtId="0" fontId="20" fillId="13" borderId="5" xfId="0" applyFont="1" applyFill="1" applyBorder="1" applyAlignment="1">
      <alignment horizontal="center" vertical="center" wrapText="1"/>
    </xf>
    <xf numFmtId="0" fontId="4" fillId="15" borderId="28" xfId="0" applyFont="1" applyFill="1" applyBorder="1" applyAlignment="1">
      <alignment horizontal="center" vertical="center" wrapText="1"/>
    </xf>
    <xf numFmtId="0" fontId="4" fillId="15" borderId="31" xfId="0" applyFont="1" applyFill="1" applyBorder="1" applyAlignment="1">
      <alignment horizontal="center" vertical="center" wrapText="1"/>
    </xf>
    <xf numFmtId="0" fontId="4" fillId="15" borderId="29" xfId="0" applyFont="1" applyFill="1" applyBorder="1" applyAlignment="1">
      <alignment horizontal="center" vertical="center" wrapText="1"/>
    </xf>
    <xf numFmtId="0" fontId="4" fillId="15" borderId="32" xfId="0" applyFont="1" applyFill="1" applyBorder="1" applyAlignment="1">
      <alignment horizontal="center" vertical="center" wrapText="1"/>
    </xf>
    <xf numFmtId="0" fontId="4" fillId="15" borderId="1" xfId="0" applyFont="1" applyFill="1" applyBorder="1" applyAlignment="1">
      <alignment horizontal="center" vertical="center" wrapText="1"/>
    </xf>
    <xf numFmtId="0" fontId="4" fillId="15" borderId="30" xfId="0" applyFont="1" applyFill="1" applyBorder="1" applyAlignment="1">
      <alignment horizontal="center" vertical="center" wrapText="1"/>
    </xf>
    <xf numFmtId="0" fontId="10" fillId="16" borderId="0" xfId="0" applyFont="1" applyFill="1" applyAlignment="1">
      <alignment horizontal="center" vertical="center" wrapText="1"/>
    </xf>
    <xf numFmtId="0" fontId="4" fillId="17" borderId="34" xfId="0" applyFont="1" applyFill="1" applyBorder="1" applyAlignment="1">
      <alignment horizontal="center" vertical="center" wrapText="1"/>
    </xf>
    <xf numFmtId="0" fontId="4" fillId="18" borderId="34" xfId="0" applyFont="1" applyFill="1" applyBorder="1" applyAlignment="1">
      <alignment horizontal="center" vertical="center" wrapText="1"/>
    </xf>
    <xf numFmtId="0" fontId="0" fillId="17" borderId="35" xfId="0" applyFill="1" applyBorder="1" applyAlignment="1">
      <alignment horizontal="center" vertical="center" wrapText="1"/>
    </xf>
    <xf numFmtId="0" fontId="0" fillId="0" borderId="35" xfId="0" applyBorder="1" applyAlignment="1">
      <alignment horizontal="center" vertical="center" wrapText="1"/>
    </xf>
    <xf numFmtId="0" fontId="4" fillId="15" borderId="28" xfId="0" quotePrefix="1" applyFont="1" applyFill="1" applyBorder="1" applyAlignment="1">
      <alignment horizontal="center" vertical="center" wrapText="1"/>
    </xf>
    <xf numFmtId="0" fontId="4" fillId="15" borderId="29" xfId="0" quotePrefix="1" applyFont="1" applyFill="1" applyBorder="1" applyAlignment="1">
      <alignment horizontal="center" vertical="center" wrapText="1"/>
    </xf>
    <xf numFmtId="0" fontId="4" fillId="15" borderId="32" xfId="0" quotePrefix="1" applyFont="1" applyFill="1" applyBorder="1" applyAlignment="1">
      <alignment horizontal="center" vertical="center" wrapText="1"/>
    </xf>
    <xf numFmtId="0" fontId="5" fillId="19" borderId="4" xfId="0" applyFont="1" applyFill="1" applyBorder="1" applyAlignment="1">
      <alignment horizontal="center" vertical="center"/>
    </xf>
    <xf numFmtId="0" fontId="0" fillId="20" borderId="37" xfId="0" applyFill="1" applyBorder="1" applyAlignment="1">
      <alignment horizontal="center" vertical="center" wrapText="1"/>
    </xf>
    <xf numFmtId="0" fontId="0" fillId="21" borderId="3" xfId="0" applyFill="1" applyBorder="1" applyAlignment="1">
      <alignment horizontal="center" vertical="center" wrapText="1"/>
    </xf>
    <xf numFmtId="0" fontId="0" fillId="5" borderId="3" xfId="0" applyFill="1" applyBorder="1" applyAlignment="1">
      <alignment horizontal="center" vertical="center" wrapText="1"/>
    </xf>
    <xf numFmtId="0" fontId="0" fillId="4" borderId="38" xfId="0" applyFill="1" applyBorder="1" applyAlignment="1">
      <alignment horizontal="center" vertical="center" wrapText="1"/>
    </xf>
    <xf numFmtId="0" fontId="0" fillId="21" borderId="37" xfId="0" applyFill="1" applyBorder="1" applyAlignment="1">
      <alignment horizontal="center" vertical="center"/>
    </xf>
    <xf numFmtId="0" fontId="0" fillId="4" borderId="5" xfId="0" applyFill="1" applyBorder="1" applyAlignment="1">
      <alignment horizontal="center" vertical="center" wrapText="1"/>
    </xf>
    <xf numFmtId="0" fontId="0" fillId="0" borderId="3" xfId="0" applyBorder="1" applyAlignment="1">
      <alignment horizontal="center" vertical="center"/>
    </xf>
    <xf numFmtId="0" fontId="0" fillId="4" borderId="38" xfId="0" applyFill="1" applyBorder="1" applyAlignment="1">
      <alignment horizontal="center" vertical="center"/>
    </xf>
    <xf numFmtId="0" fontId="0" fillId="5" borderId="39" xfId="0" applyFill="1" applyBorder="1" applyAlignment="1">
      <alignment horizontal="center"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5" borderId="14" xfId="0" applyFill="1" applyBorder="1" applyAlignment="1">
      <alignment horizontal="center" vertical="center" wrapText="1"/>
    </xf>
    <xf numFmtId="0" fontId="0" fillId="0" borderId="14" xfId="0" applyBorder="1" applyAlignment="1">
      <alignment horizontal="center" vertical="center"/>
    </xf>
    <xf numFmtId="0" fontId="0" fillId="0" borderId="23" xfId="0" applyBorder="1" applyAlignment="1">
      <alignment horizontal="center" vertical="center"/>
    </xf>
    <xf numFmtId="0" fontId="0" fillId="21" borderId="9" xfId="0" applyFill="1" applyBorder="1" applyAlignment="1">
      <alignment horizontal="center" vertical="center" wrapText="1"/>
    </xf>
    <xf numFmtId="0" fontId="0" fillId="0" borderId="3" xfId="0" applyBorder="1" applyAlignment="1">
      <alignment horizontal="center" vertical="center" wrapText="1"/>
    </xf>
    <xf numFmtId="0" fontId="0" fillId="0" borderId="38" xfId="0" applyBorder="1" applyAlignment="1">
      <alignment horizontal="center" vertical="center" wrapText="1"/>
    </xf>
    <xf numFmtId="0" fontId="0" fillId="0" borderId="40" xfId="0"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21" xfId="0" applyFill="1" applyBorder="1" applyAlignment="1">
      <alignment horizontal="center" vertical="center" wrapText="1"/>
    </xf>
    <xf numFmtId="0" fontId="0" fillId="5" borderId="1" xfId="0" applyFill="1" applyBorder="1" applyAlignment="1">
      <alignment horizontal="center" vertical="center" wrapText="1"/>
    </xf>
    <xf numFmtId="0" fontId="0" fillId="4" borderId="4" xfId="0" applyFill="1" applyBorder="1" applyAlignment="1">
      <alignment horizontal="center" vertical="center" wrapText="1"/>
    </xf>
    <xf numFmtId="0" fontId="0" fillId="4" borderId="21" xfId="0" applyFill="1" applyBorder="1" applyAlignment="1">
      <alignment horizontal="center" vertical="center" wrapText="1"/>
    </xf>
    <xf numFmtId="0" fontId="0" fillId="5" borderId="1" xfId="0" applyFill="1" applyBorder="1" applyAlignment="1">
      <alignment horizontal="center" vertical="center"/>
    </xf>
    <xf numFmtId="0" fontId="0" fillId="4" borderId="1" xfId="0" applyFill="1" applyBorder="1" applyAlignment="1">
      <alignment horizontal="center" vertical="center" wrapText="1"/>
    </xf>
    <xf numFmtId="0" fontId="0" fillId="21" borderId="1" xfId="0" applyFill="1" applyBorder="1" applyAlignment="1">
      <alignment horizontal="center" vertical="center"/>
    </xf>
    <xf numFmtId="0" fontId="0" fillId="0" borderId="4" xfId="0" applyBorder="1" applyAlignment="1">
      <alignment horizontal="center" vertical="center"/>
    </xf>
    <xf numFmtId="0" fontId="0" fillId="5" borderId="41" xfId="0" applyFill="1" applyBorder="1" applyAlignment="1">
      <alignment horizontal="center" vertical="center" wrapText="1"/>
    </xf>
    <xf numFmtId="0" fontId="0" fillId="0" borderId="21" xfId="0" applyBorder="1" applyAlignment="1">
      <alignment vertical="center" wrapText="1"/>
    </xf>
    <xf numFmtId="0" fontId="0" fillId="0" borderId="1" xfId="0" applyBorder="1" applyAlignment="1">
      <alignment horizontal="center" vertical="center" wrapText="1"/>
    </xf>
    <xf numFmtId="0" fontId="0" fillId="0" borderId="25" xfId="0" applyBorder="1" applyAlignment="1">
      <alignment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21" borderId="5" xfId="0" applyFill="1" applyBorder="1" applyAlignment="1">
      <alignment horizontal="center" vertical="center" wrapText="1"/>
    </xf>
    <xf numFmtId="0" fontId="0" fillId="5" borderId="4" xfId="0" applyFill="1" applyBorder="1" applyAlignment="1">
      <alignment horizontal="center" vertical="center" wrapText="1"/>
    </xf>
    <xf numFmtId="0" fontId="0" fillId="0" borderId="24" xfId="0" applyBorder="1" applyAlignment="1">
      <alignment horizontal="center" vertical="center"/>
    </xf>
    <xf numFmtId="0" fontId="0" fillId="20" borderId="0" xfId="0" applyFill="1" applyAlignment="1">
      <alignment horizontal="center" vertical="center"/>
    </xf>
    <xf numFmtId="0" fontId="0" fillId="20" borderId="21" xfId="0" applyFill="1" applyBorder="1" applyAlignment="1">
      <alignment horizontal="center" vertical="center" wrapText="1"/>
    </xf>
    <xf numFmtId="0" fontId="0" fillId="21" borderId="1" xfId="0" applyFill="1"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vertical="center" wrapText="1"/>
    </xf>
    <xf numFmtId="0" fontId="0" fillId="21" borderId="5" xfId="0" applyFill="1" applyBorder="1" applyAlignment="1">
      <alignment horizontal="center" vertical="center"/>
    </xf>
    <xf numFmtId="0" fontId="0" fillId="21" borderId="0" xfId="0" applyFill="1" applyAlignment="1">
      <alignment horizontal="center" vertical="center"/>
    </xf>
    <xf numFmtId="0" fontId="0" fillId="4" borderId="21" xfId="0" applyFill="1" applyBorder="1" applyAlignment="1">
      <alignment horizontal="center" vertical="center"/>
    </xf>
    <xf numFmtId="0" fontId="0" fillId="4" borderId="1" xfId="0" applyFill="1" applyBorder="1" applyAlignment="1">
      <alignment horizontal="center" vertical="center"/>
    </xf>
    <xf numFmtId="0" fontId="0" fillId="4" borderId="4" xfId="0" applyFill="1" applyBorder="1" applyAlignment="1">
      <alignment horizontal="center" vertical="center"/>
    </xf>
    <xf numFmtId="0" fontId="0" fillId="0" borderId="5" xfId="0" applyBorder="1" applyAlignment="1">
      <alignment horizontal="center" vertical="center"/>
    </xf>
    <xf numFmtId="0" fontId="0" fillId="0" borderId="41" xfId="0" applyBorder="1" applyAlignment="1">
      <alignment horizontal="center" vertical="center"/>
    </xf>
    <xf numFmtId="0" fontId="0" fillId="5" borderId="21" xfId="0" applyFill="1" applyBorder="1" applyAlignment="1">
      <alignment horizontal="center" vertical="center"/>
    </xf>
    <xf numFmtId="0" fontId="0" fillId="5" borderId="28" xfId="0" applyFill="1" applyBorder="1" applyAlignment="1">
      <alignment horizontal="center" vertical="center" wrapText="1"/>
    </xf>
    <xf numFmtId="0" fontId="0" fillId="5" borderId="29" xfId="0" applyFill="1" applyBorder="1" applyAlignment="1">
      <alignment horizontal="center" vertical="center" wrapText="1"/>
    </xf>
    <xf numFmtId="0" fontId="0" fillId="21"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20" borderId="28" xfId="0" applyFill="1" applyBorder="1" applyAlignment="1">
      <alignment horizontal="center" vertical="center" wrapText="1"/>
    </xf>
    <xf numFmtId="0" fontId="0" fillId="21" borderId="28" xfId="0" applyFill="1" applyBorder="1" applyAlignment="1">
      <alignment horizontal="center" vertical="center" wrapText="1"/>
    </xf>
    <xf numFmtId="0" fontId="0" fillId="20" borderId="29" xfId="0" applyFill="1" applyBorder="1" applyAlignment="1">
      <alignment horizontal="center" vertical="center" wrapText="1"/>
    </xf>
    <xf numFmtId="0" fontId="0" fillId="21" borderId="42" xfId="0" applyFill="1" applyBorder="1" applyAlignment="1">
      <alignment horizontal="center" vertical="center" wrapText="1"/>
    </xf>
    <xf numFmtId="0" fontId="0" fillId="0" borderId="28" xfId="0" applyBorder="1" applyAlignment="1">
      <alignment vertical="center" wrapText="1"/>
    </xf>
    <xf numFmtId="0" fontId="0" fillId="0" borderId="29" xfId="0" applyBorder="1" applyAlignment="1">
      <alignment vertical="center" wrapText="1"/>
    </xf>
    <xf numFmtId="0" fontId="0" fillId="5" borderId="31" xfId="0" applyFill="1" applyBorder="1" applyAlignment="1">
      <alignment horizontal="center" vertical="center" wrapText="1"/>
    </xf>
    <xf numFmtId="0" fontId="0" fillId="0" borderId="30" xfId="0" applyBorder="1" applyAlignment="1">
      <alignment vertical="center" wrapText="1"/>
    </xf>
    <xf numFmtId="0" fontId="0" fillId="0" borderId="32" xfId="0" applyBorder="1" applyAlignment="1">
      <alignment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2" xfId="0" applyFill="1" applyBorder="1" applyAlignment="1">
      <alignment horizontal="center" vertical="center" wrapText="1"/>
    </xf>
    <xf numFmtId="0" fontId="0" fillId="21" borderId="31" xfId="0" applyFill="1" applyBorder="1" applyAlignment="1">
      <alignment horizontal="center" vertical="center" wrapText="1"/>
    </xf>
    <xf numFmtId="0" fontId="0" fillId="20" borderId="0" xfId="0" applyFill="1" applyAlignment="1">
      <alignment horizontal="center" vertical="center" wrapText="1"/>
    </xf>
    <xf numFmtId="0" fontId="0" fillId="21" borderId="30" xfId="0" applyFill="1" applyBorder="1" applyAlignment="1">
      <alignment horizontal="center" vertical="center" wrapText="1"/>
    </xf>
    <xf numFmtId="0" fontId="0" fillId="0" borderId="33" xfId="0"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wrapText="1"/>
    </xf>
    <xf numFmtId="0" fontId="0" fillId="0" borderId="0" xfId="0" applyAlignment="1">
      <alignment horizontal="center" wrapText="1"/>
    </xf>
    <xf numFmtId="0" fontId="0" fillId="0" borderId="0" xfId="0" applyAlignment="1">
      <alignment wrapText="1"/>
    </xf>
    <xf numFmtId="0" fontId="0" fillId="0" borderId="1" xfId="0" applyBorder="1" applyAlignment="1">
      <alignment horizontal="center"/>
    </xf>
    <xf numFmtId="0" fontId="22" fillId="16" borderId="0" xfId="0" applyFont="1" applyFill="1" applyAlignment="1">
      <alignment horizontal="center" vertical="center" wrapText="1"/>
    </xf>
    <xf numFmtId="0" fontId="0" fillId="18" borderId="35" xfId="0" applyFill="1" applyBorder="1" applyAlignment="1">
      <alignment horizontal="center" vertical="center" wrapText="1"/>
    </xf>
    <xf numFmtId="0" fontId="17" fillId="0" borderId="0" xfId="4" applyAlignment="1">
      <alignment wrapText="1"/>
    </xf>
    <xf numFmtId="0" fontId="17" fillId="0" borderId="0" xfId="4"/>
    <xf numFmtId="0" fontId="4" fillId="13" borderId="5" xfId="0" applyFont="1" applyFill="1" applyBorder="1" applyAlignment="1">
      <alignment horizontal="center" vertical="center" wrapText="1"/>
    </xf>
    <xf numFmtId="0" fontId="0" fillId="20" borderId="37" xfId="0" applyFill="1" applyBorder="1" applyAlignment="1">
      <alignment horizontal="center" wrapText="1"/>
    </xf>
    <xf numFmtId="0" fontId="0" fillId="21" borderId="3" xfId="0" applyFill="1" applyBorder="1" applyAlignment="1">
      <alignment horizontal="center" wrapText="1"/>
    </xf>
    <xf numFmtId="0" fontId="0" fillId="5" borderId="3" xfId="0" applyFill="1" applyBorder="1" applyAlignment="1">
      <alignment horizontal="center" wrapText="1"/>
    </xf>
    <xf numFmtId="0" fontId="0" fillId="4" borderId="38" xfId="0" applyFill="1" applyBorder="1" applyAlignment="1">
      <alignment horizontal="center" wrapText="1"/>
    </xf>
    <xf numFmtId="0" fontId="0" fillId="21" borderId="37" xfId="0" applyFill="1" applyBorder="1" applyAlignment="1">
      <alignment horizontal="center"/>
    </xf>
    <xf numFmtId="0" fontId="0" fillId="0" borderId="3" xfId="0" applyBorder="1" applyAlignment="1">
      <alignment horizontal="center"/>
    </xf>
    <xf numFmtId="0" fontId="0" fillId="4" borderId="3" xfId="0" applyFill="1" applyBorder="1" applyAlignment="1">
      <alignment horizontal="center"/>
    </xf>
    <xf numFmtId="0" fontId="0" fillId="4" borderId="38" xfId="0" applyFill="1" applyBorder="1" applyAlignment="1">
      <alignment horizontal="center"/>
    </xf>
    <xf numFmtId="0" fontId="0" fillId="5" borderId="40" xfId="0" applyFill="1" applyBorder="1" applyAlignment="1">
      <alignment horizontal="center" wrapText="1"/>
    </xf>
    <xf numFmtId="0" fontId="0" fillId="4" borderId="37" xfId="0" applyFill="1" applyBorder="1" applyAlignment="1">
      <alignment horizontal="center" wrapText="1"/>
    </xf>
    <xf numFmtId="0" fontId="0" fillId="4" borderId="3" xfId="0" applyFill="1" applyBorder="1" applyAlignment="1">
      <alignment horizontal="center" wrapText="1"/>
    </xf>
    <xf numFmtId="0" fontId="0" fillId="5" borderId="43" xfId="0" applyFill="1" applyBorder="1" applyAlignment="1">
      <alignment horizontal="center" wrapText="1"/>
    </xf>
    <xf numFmtId="0" fontId="0" fillId="0" borderId="37" xfId="0" applyBorder="1" applyAlignment="1">
      <alignment horizontal="center"/>
    </xf>
    <xf numFmtId="0" fontId="0" fillId="0" borderId="43" xfId="0" applyBorder="1" applyAlignment="1">
      <alignment horizontal="center"/>
    </xf>
    <xf numFmtId="0" fontId="0" fillId="21" borderId="9" xfId="0" applyFill="1" applyBorder="1" applyAlignment="1">
      <alignment horizontal="center" wrapText="1"/>
    </xf>
    <xf numFmtId="0" fontId="0" fillId="0" borderId="3" xfId="0" applyBorder="1" applyAlignment="1">
      <alignment horizontal="center" wrapText="1"/>
    </xf>
    <xf numFmtId="0" fontId="0" fillId="0" borderId="38" xfId="0" applyBorder="1" applyAlignment="1">
      <alignment horizontal="center" wrapText="1"/>
    </xf>
    <xf numFmtId="0" fontId="0" fillId="0" borderId="40" xfId="0" applyBorder="1" applyAlignment="1">
      <alignment horizontal="center"/>
    </xf>
    <xf numFmtId="0" fontId="0" fillId="5" borderId="0" xfId="0" applyFill="1" applyAlignment="1">
      <alignment horizontal="center"/>
    </xf>
    <xf numFmtId="0" fontId="0" fillId="5" borderId="21" xfId="0" applyFill="1" applyBorder="1" applyAlignment="1">
      <alignment horizontal="center" wrapText="1"/>
    </xf>
    <xf numFmtId="0" fontId="0" fillId="5" borderId="1" xfId="0" applyFill="1" applyBorder="1" applyAlignment="1">
      <alignment horizontal="center" wrapText="1"/>
    </xf>
    <xf numFmtId="0" fontId="0" fillId="4" borderId="4" xfId="0" applyFill="1" applyBorder="1" applyAlignment="1">
      <alignment horizontal="center" wrapText="1"/>
    </xf>
    <xf numFmtId="0" fontId="0" fillId="4" borderId="21" xfId="0" applyFill="1" applyBorder="1" applyAlignment="1">
      <alignment horizontal="center" wrapText="1"/>
    </xf>
    <xf numFmtId="0" fontId="0" fillId="4" borderId="1" xfId="0" applyFill="1" applyBorder="1" applyAlignment="1">
      <alignment horizontal="center" wrapText="1"/>
    </xf>
    <xf numFmtId="0" fontId="0" fillId="21" borderId="1" xfId="0" applyFill="1" applyBorder="1" applyAlignment="1">
      <alignment horizontal="center"/>
    </xf>
    <xf numFmtId="0" fontId="0" fillId="0" borderId="4" xfId="0" applyBorder="1" applyAlignment="1">
      <alignment horizontal="center"/>
    </xf>
    <xf numFmtId="0" fontId="0" fillId="5" borderId="24" xfId="0" applyFill="1" applyBorder="1" applyAlignment="1">
      <alignment horizontal="center" wrapText="1"/>
    </xf>
    <xf numFmtId="0" fontId="0" fillId="0" borderId="1" xfId="0" applyBorder="1" applyAlignment="1">
      <alignment horizontal="center" wrapText="1"/>
    </xf>
    <xf numFmtId="0" fontId="0" fillId="0" borderId="25" xfId="0" applyBorder="1" applyAlignment="1">
      <alignment horizontal="center" wrapText="1"/>
    </xf>
    <xf numFmtId="0" fontId="0" fillId="0" borderId="21" xfId="0" applyBorder="1" applyAlignment="1">
      <alignment horizontal="center"/>
    </xf>
    <xf numFmtId="0" fontId="0" fillId="0" borderId="25" xfId="0" applyBorder="1" applyAlignment="1">
      <alignment horizontal="center"/>
    </xf>
    <xf numFmtId="0" fontId="0" fillId="21" borderId="5" xfId="0" applyFill="1" applyBorder="1" applyAlignment="1">
      <alignment horizontal="center" wrapText="1"/>
    </xf>
    <xf numFmtId="0" fontId="0" fillId="5" borderId="4" xfId="0" applyFill="1" applyBorder="1" applyAlignment="1">
      <alignment horizontal="center" wrapText="1"/>
    </xf>
    <xf numFmtId="0" fontId="0" fillId="0" borderId="24" xfId="0" applyBorder="1" applyAlignment="1">
      <alignment horizontal="center"/>
    </xf>
    <xf numFmtId="0" fontId="0" fillId="20" borderId="0" xfId="0" applyFill="1" applyAlignment="1">
      <alignment horizontal="center"/>
    </xf>
    <xf numFmtId="0" fontId="0" fillId="20" borderId="21" xfId="0" applyFill="1" applyBorder="1" applyAlignment="1">
      <alignment horizontal="center" wrapText="1"/>
    </xf>
    <xf numFmtId="0" fontId="0" fillId="21" borderId="1" xfId="0" applyFill="1" applyBorder="1" applyAlignment="1">
      <alignment horizontal="center" wrapText="1"/>
    </xf>
    <xf numFmtId="0" fontId="0" fillId="0" borderId="4" xfId="0" applyBorder="1" applyAlignment="1">
      <alignment horizontal="center" wrapText="1"/>
    </xf>
    <xf numFmtId="0" fontId="0" fillId="4" borderId="21" xfId="0" applyFill="1" applyBorder="1" applyAlignment="1">
      <alignment horizontal="center"/>
    </xf>
    <xf numFmtId="0" fontId="0" fillId="21" borderId="5" xfId="0" applyFill="1" applyBorder="1" applyAlignment="1">
      <alignment horizontal="center"/>
    </xf>
    <xf numFmtId="0" fontId="0" fillId="21" borderId="0" xfId="0" applyFill="1" applyAlignment="1">
      <alignment horizontal="center"/>
    </xf>
    <xf numFmtId="0" fontId="0" fillId="4" borderId="1" xfId="0" applyFill="1" applyBorder="1" applyAlignment="1">
      <alignment horizontal="center"/>
    </xf>
    <xf numFmtId="0" fontId="0" fillId="4" borderId="4" xfId="0" applyFill="1" applyBorder="1" applyAlignment="1">
      <alignment horizontal="center"/>
    </xf>
    <xf numFmtId="0" fontId="0" fillId="0" borderId="5" xfId="0" applyBorder="1" applyAlignment="1">
      <alignment horizontal="center"/>
    </xf>
    <xf numFmtId="0" fontId="0" fillId="5" borderId="21" xfId="0" applyFill="1" applyBorder="1" applyAlignment="1">
      <alignment horizontal="center"/>
    </xf>
    <xf numFmtId="0" fontId="23" fillId="20" borderId="28" xfId="0" applyFont="1" applyFill="1" applyBorder="1" applyAlignment="1">
      <alignment horizontal="center" vertical="center" wrapText="1"/>
    </xf>
    <xf numFmtId="0" fontId="0" fillId="21" borderId="33" xfId="0" applyFill="1"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0" fillId="0" borderId="15" xfId="0" applyBorder="1" applyAlignment="1">
      <alignment vertical="center" wrapText="1"/>
    </xf>
    <xf numFmtId="0" fontId="0" fillId="0" borderId="22" xfId="0" applyBorder="1" applyAlignment="1">
      <alignment horizontal="center" vertical="center"/>
    </xf>
    <xf numFmtId="0" fontId="0" fillId="17" borderId="34" xfId="0" applyFill="1" applyBorder="1" applyAlignment="1">
      <alignment horizontal="center" vertical="center" wrapText="1"/>
    </xf>
    <xf numFmtId="0" fontId="0" fillId="0" borderId="34" xfId="0" applyBorder="1" applyAlignment="1">
      <alignment horizontal="center" vertical="center" wrapText="1"/>
    </xf>
    <xf numFmtId="0" fontId="0" fillId="0" borderId="37" xfId="0" applyBorder="1" applyAlignment="1">
      <alignment vertical="center" wrapText="1"/>
    </xf>
    <xf numFmtId="0" fontId="0" fillId="0" borderId="43" xfId="0" applyBorder="1" applyAlignment="1">
      <alignment vertical="center" wrapText="1"/>
    </xf>
    <xf numFmtId="0" fontId="24" fillId="17" borderId="34" xfId="0"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5" borderId="31" xfId="0" applyFont="1" applyFill="1" applyBorder="1" applyAlignment="1">
      <alignment horizontal="center" vertical="center" wrapText="1"/>
    </xf>
    <xf numFmtId="0" fontId="0" fillId="19" borderId="0" xfId="0" applyFill="1"/>
    <xf numFmtId="0" fontId="25" fillId="23" borderId="0" xfId="0" applyFont="1" applyFill="1" applyAlignment="1">
      <alignment horizontal="center" vertical="center" wrapText="1"/>
    </xf>
    <xf numFmtId="0" fontId="20" fillId="23" borderId="0" xfId="0" applyFont="1" applyFill="1" applyAlignment="1">
      <alignment horizontal="center" vertical="center"/>
    </xf>
    <xf numFmtId="0" fontId="26" fillId="0" borderId="0" xfId="0" applyFont="1" applyAlignment="1">
      <alignment horizontal="center" vertical="center"/>
    </xf>
    <xf numFmtId="0" fontId="0" fillId="18" borderId="0" xfId="0" applyFill="1" applyAlignment="1">
      <alignment horizontal="center" vertical="center" wrapText="1"/>
    </xf>
    <xf numFmtId="0" fontId="0" fillId="13" borderId="0" xfId="0" applyFill="1"/>
    <xf numFmtId="0" fontId="0" fillId="17" borderId="0" xfId="0" applyFill="1" applyAlignment="1">
      <alignment horizontal="center" vertical="center" wrapText="1"/>
    </xf>
    <xf numFmtId="0" fontId="25" fillId="23" borderId="0" xfId="0" applyFont="1" applyFill="1" applyAlignment="1">
      <alignment horizontal="left" vertical="center" wrapText="1"/>
    </xf>
    <xf numFmtId="0" fontId="0" fillId="0" borderId="0" xfId="0" applyAlignment="1">
      <alignment horizontal="left"/>
    </xf>
    <xf numFmtId="0" fontId="0" fillId="18" borderId="0" xfId="0" applyFill="1" applyAlignment="1">
      <alignment horizontal="left" vertical="center" wrapText="1"/>
    </xf>
    <xf numFmtId="0" fontId="0" fillId="0" borderId="1" xfId="0" applyBorder="1" applyAlignment="1">
      <alignment horizontal="left" vertical="center"/>
    </xf>
    <xf numFmtId="0" fontId="4" fillId="13" borderId="1" xfId="0" applyFont="1" applyFill="1" applyBorder="1" applyAlignment="1">
      <alignment horizontal="center" vertical="center" wrapText="1"/>
    </xf>
    <xf numFmtId="0" fontId="12" fillId="24" borderId="1" xfId="0" applyFont="1" applyFill="1" applyBorder="1" applyAlignment="1">
      <alignment horizontal="center" vertical="center"/>
    </xf>
    <xf numFmtId="0" fontId="4" fillId="0" borderId="7" xfId="0" applyFont="1" applyBorder="1" applyAlignment="1">
      <alignment horizontal="center" vertical="center"/>
    </xf>
    <xf numFmtId="0" fontId="4" fillId="25" borderId="1" xfId="0" applyFont="1" applyFill="1" applyBorder="1" applyAlignment="1">
      <alignment horizontal="left" vertical="top" wrapText="1"/>
    </xf>
    <xf numFmtId="0" fontId="0" fillId="25" borderId="1" xfId="0" applyFill="1" applyBorder="1" applyAlignment="1">
      <alignment horizontal="left" vertical="top" wrapText="1"/>
    </xf>
    <xf numFmtId="0" fontId="0" fillId="0" borderId="0" xfId="0" applyAlignment="1">
      <alignment vertical="top" wrapText="1"/>
    </xf>
    <xf numFmtId="0" fontId="0" fillId="0" borderId="1" xfId="0" applyBorder="1" applyAlignment="1">
      <alignment horizontal="left" vertical="top" wrapText="1"/>
    </xf>
    <xf numFmtId="0" fontId="0" fillId="4" borderId="1" xfId="0" applyFill="1" applyBorder="1" applyAlignment="1">
      <alignment horizontal="left" vertical="top" wrapText="1"/>
    </xf>
    <xf numFmtId="0" fontId="4" fillId="25" borderId="1" xfId="0" applyFont="1" applyFill="1" applyBorder="1" applyAlignment="1">
      <alignment horizontal="left" vertical="center"/>
    </xf>
    <xf numFmtId="0" fontId="0" fillId="25" borderId="1" xfId="0" applyFill="1" applyBorder="1" applyAlignment="1">
      <alignment horizontal="left" vertical="center"/>
    </xf>
    <xf numFmtId="0" fontId="28" fillId="0" borderId="1" xfId="0" applyFont="1" applyBorder="1" applyAlignment="1">
      <alignment horizontal="left" vertical="center" indent="1"/>
    </xf>
    <xf numFmtId="0" fontId="29" fillId="0" borderId="1" xfId="0" applyFont="1" applyBorder="1" applyAlignment="1">
      <alignment horizontal="left" vertical="center"/>
    </xf>
    <xf numFmtId="0" fontId="0" fillId="0" borderId="1" xfId="0" applyBorder="1" applyAlignment="1">
      <alignment horizontal="left" vertical="center" indent="2"/>
    </xf>
    <xf numFmtId="0" fontId="0" fillId="0" borderId="1" xfId="0" applyBorder="1" applyAlignment="1">
      <alignment horizontal="left" vertical="center" indent="1"/>
    </xf>
    <xf numFmtId="0" fontId="0" fillId="0" borderId="1" xfId="0" applyBorder="1" applyAlignment="1">
      <alignment horizontal="left" vertical="center" wrapText="1"/>
    </xf>
    <xf numFmtId="0" fontId="0" fillId="25" borderId="1" xfId="0" applyFill="1" applyBorder="1" applyAlignment="1">
      <alignment horizontal="left" vertical="center" wrapText="1"/>
    </xf>
    <xf numFmtId="0" fontId="4" fillId="25" borderId="1" xfId="0" applyFont="1" applyFill="1" applyBorder="1" applyAlignment="1">
      <alignment horizontal="left"/>
    </xf>
    <xf numFmtId="0" fontId="0" fillId="25" borderId="1" xfId="0" applyFill="1" applyBorder="1" applyAlignment="1">
      <alignment horizontal="left"/>
    </xf>
    <xf numFmtId="0" fontId="0" fillId="0" borderId="1" xfId="0" applyBorder="1" applyAlignment="1">
      <alignment horizontal="left"/>
    </xf>
    <xf numFmtId="0" fontId="30" fillId="0" borderId="1" xfId="4" applyFont="1" applyBorder="1" applyAlignment="1">
      <alignment horizontal="left" wrapText="1"/>
    </xf>
    <xf numFmtId="0" fontId="20" fillId="23" borderId="0" xfId="0" applyFont="1" applyFill="1" applyAlignment="1">
      <alignment horizontal="left" vertical="center" wrapText="1"/>
    </xf>
    <xf numFmtId="0" fontId="0" fillId="0" borderId="0" xfId="0" applyAlignment="1">
      <alignment horizontal="left" wrapText="1"/>
    </xf>
    <xf numFmtId="0" fontId="20" fillId="23" borderId="0" xfId="0" applyFont="1" applyFill="1" applyAlignment="1">
      <alignment horizontal="center" vertical="center" wrapText="1"/>
    </xf>
    <xf numFmtId="0" fontId="27" fillId="0" borderId="0" xfId="0" applyFont="1" applyAlignment="1">
      <alignment wrapText="1"/>
    </xf>
    <xf numFmtId="0" fontId="4" fillId="18" borderId="1" xfId="0" applyFont="1" applyFill="1" applyBorder="1" applyAlignment="1">
      <alignment horizontal="center" vertical="center" wrapText="1"/>
    </xf>
    <xf numFmtId="0" fontId="4" fillId="17" borderId="1" xfId="0" applyFont="1" applyFill="1" applyBorder="1" applyAlignment="1">
      <alignment horizontal="center" vertical="center" wrapText="1"/>
    </xf>
    <xf numFmtId="0" fontId="4" fillId="15" borderId="1" xfId="0" quotePrefix="1" applyFont="1" applyFill="1" applyBorder="1" applyAlignment="1">
      <alignment horizontal="center" vertical="center" wrapText="1"/>
    </xf>
    <xf numFmtId="0" fontId="4" fillId="16" borderId="1" xfId="0" applyFont="1" applyFill="1" applyBorder="1" applyAlignment="1">
      <alignment horizontal="center" vertical="center" wrapText="1"/>
    </xf>
    <xf numFmtId="0" fontId="0" fillId="17" borderId="1" xfId="0" applyFill="1" applyBorder="1" applyAlignment="1">
      <alignment horizontal="center" vertical="center" wrapText="1"/>
    </xf>
    <xf numFmtId="0" fontId="0" fillId="14" borderId="1" xfId="0" applyFill="1" applyBorder="1" applyAlignment="1">
      <alignment horizontal="center"/>
    </xf>
    <xf numFmtId="0" fontId="0" fillId="0" borderId="3" xfId="0" applyBorder="1" applyAlignment="1">
      <alignment vertical="center"/>
    </xf>
    <xf numFmtId="0" fontId="0" fillId="0" borderId="8" xfId="0" applyBorder="1" applyAlignment="1">
      <alignment vertical="center"/>
    </xf>
    <xf numFmtId="0" fontId="0" fillId="0" borderId="6" xfId="0" applyBorder="1" applyAlignment="1">
      <alignment vertical="center"/>
    </xf>
    <xf numFmtId="0" fontId="4" fillId="13" borderId="1" xfId="0" applyFont="1" applyFill="1" applyBorder="1" applyAlignment="1">
      <alignment vertical="center" wrapText="1"/>
    </xf>
    <xf numFmtId="0" fontId="4" fillId="13" borderId="1" xfId="0" quotePrefix="1" applyFont="1" applyFill="1" applyBorder="1" applyAlignment="1">
      <alignment vertical="center" wrapText="1"/>
    </xf>
    <xf numFmtId="0" fontId="4" fillId="13" borderId="1" xfId="0" applyFont="1" applyFill="1" applyBorder="1" applyAlignment="1">
      <alignment vertical="center"/>
    </xf>
    <xf numFmtId="0" fontId="4" fillId="13" borderId="4" xfId="0" applyFont="1" applyFill="1" applyBorder="1" applyAlignment="1">
      <alignment vertical="center"/>
    </xf>
    <xf numFmtId="0" fontId="4" fillId="13" borderId="45" xfId="0" applyFont="1" applyFill="1" applyBorder="1" applyAlignment="1">
      <alignment vertical="center"/>
    </xf>
    <xf numFmtId="0" fontId="0" fillId="0" borderId="44" xfId="0" applyBorder="1" applyAlignment="1">
      <alignment vertical="center"/>
    </xf>
    <xf numFmtId="0" fontId="10" fillId="12" borderId="1" xfId="0" applyFont="1" applyFill="1" applyBorder="1" applyAlignment="1">
      <alignment vertical="center"/>
    </xf>
    <xf numFmtId="0" fontId="4" fillId="26" borderId="1" xfId="0" applyFont="1" applyFill="1" applyBorder="1"/>
    <xf numFmtId="0" fontId="10" fillId="26" borderId="46" xfId="0" applyFont="1" applyFill="1" applyBorder="1" applyAlignment="1">
      <alignment horizontal="center" vertical="center"/>
    </xf>
    <xf numFmtId="0" fontId="10" fillId="26" borderId="11" xfId="0" applyFont="1" applyFill="1" applyBorder="1" applyAlignment="1">
      <alignment horizontal="center" vertical="center"/>
    </xf>
    <xf numFmtId="0" fontId="0" fillId="14" borderId="3" xfId="0" applyFill="1" applyBorder="1" applyAlignment="1">
      <alignment horizontal="center"/>
    </xf>
    <xf numFmtId="0" fontId="4" fillId="26" borderId="3" xfId="0" applyFont="1" applyFill="1" applyBorder="1"/>
    <xf numFmtId="0" fontId="0" fillId="4" borderId="44" xfId="0" applyFill="1" applyBorder="1" applyAlignment="1">
      <alignment horizontal="center" vertical="center"/>
    </xf>
    <xf numFmtId="0" fontId="0" fillId="4" borderId="10" xfId="0" applyFill="1" applyBorder="1" applyAlignment="1">
      <alignment horizontal="center" vertical="center"/>
    </xf>
    <xf numFmtId="0" fontId="10" fillId="26" borderId="47" xfId="0" applyFont="1" applyFill="1" applyBorder="1" applyAlignment="1">
      <alignment horizontal="center" vertical="center"/>
    </xf>
    <xf numFmtId="0" fontId="10" fillId="26" borderId="48" xfId="0" applyFont="1" applyFill="1"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4" fillId="16" borderId="4" xfId="0" applyFont="1" applyFill="1" applyBorder="1" applyAlignment="1">
      <alignment vertical="center"/>
    </xf>
    <xf numFmtId="0" fontId="4" fillId="16" borderId="45" xfId="0" applyFont="1" applyFill="1" applyBorder="1" applyAlignment="1">
      <alignment vertical="center"/>
    </xf>
    <xf numFmtId="0" fontId="0" fillId="12" borderId="1" xfId="0" applyFill="1" applyBorder="1" applyAlignment="1">
      <alignment horizontal="center" vertical="center"/>
    </xf>
    <xf numFmtId="0" fontId="0" fillId="13" borderId="4" xfId="0" applyFill="1" applyBorder="1" applyAlignment="1">
      <alignment horizontal="center"/>
    </xf>
    <xf numFmtId="0" fontId="0" fillId="13" borderId="45" xfId="0" applyFill="1" applyBorder="1" applyAlignment="1">
      <alignment horizontal="center"/>
    </xf>
    <xf numFmtId="0" fontId="0" fillId="13" borderId="1" xfId="0" applyFill="1" applyBorder="1" applyAlignment="1">
      <alignment horizontal="center"/>
    </xf>
    <xf numFmtId="0" fontId="0" fillId="4" borderId="10" xfId="0" applyFill="1" applyBorder="1" applyAlignment="1">
      <alignment horizontal="center"/>
    </xf>
    <xf numFmtId="0" fontId="0" fillId="15" borderId="21" xfId="0" applyFill="1" applyBorder="1" applyAlignment="1">
      <alignment vertical="center"/>
    </xf>
    <xf numFmtId="0" fontId="0" fillId="15" borderId="1" xfId="0" applyFill="1" applyBorder="1" applyAlignment="1">
      <alignment vertical="center"/>
    </xf>
    <xf numFmtId="0" fontId="0" fillId="15" borderId="25" xfId="0" applyFill="1" applyBorder="1" applyAlignment="1">
      <alignment vertical="center" wrapText="1"/>
    </xf>
    <xf numFmtId="0" fontId="0" fillId="15" borderId="5" xfId="0" applyFill="1" applyBorder="1" applyAlignment="1">
      <alignment vertical="center" wrapText="1"/>
    </xf>
    <xf numFmtId="0" fontId="0" fillId="15" borderId="1" xfId="0" applyFill="1" applyBorder="1" applyAlignment="1">
      <alignment vertical="center" wrapText="1"/>
    </xf>
    <xf numFmtId="0" fontId="0" fillId="0" borderId="21" xfId="0" applyBorder="1" applyAlignment="1">
      <alignment vertical="center"/>
    </xf>
    <xf numFmtId="0" fontId="0" fillId="0" borderId="1" xfId="0" applyBorder="1" applyAlignment="1">
      <alignment vertical="center"/>
    </xf>
    <xf numFmtId="0" fontId="0" fillId="0" borderId="5" xfId="0" applyBorder="1" applyAlignment="1">
      <alignment vertical="center" wrapText="1"/>
    </xf>
    <xf numFmtId="0" fontId="0" fillId="0" borderId="28" xfId="0" applyBorder="1" applyAlignment="1">
      <alignment vertical="center"/>
    </xf>
    <xf numFmtId="0" fontId="0" fillId="0" borderId="29" xfId="0" applyBorder="1" applyAlignment="1">
      <alignment vertical="center"/>
    </xf>
    <xf numFmtId="0" fontId="0" fillId="0" borderId="0" xfId="0" applyAlignment="1">
      <alignment vertical="center" wrapText="1"/>
    </xf>
    <xf numFmtId="0" fontId="0" fillId="0" borderId="53" xfId="0" applyBorder="1" applyAlignment="1">
      <alignment horizontal="center"/>
    </xf>
    <xf numFmtId="0" fontId="0" fillId="4" borderId="53" xfId="0" applyFill="1" applyBorder="1" applyAlignment="1">
      <alignment horizontal="center"/>
    </xf>
    <xf numFmtId="0" fontId="4" fillId="13" borderId="4" xfId="0" applyFont="1" applyFill="1" applyBorder="1" applyAlignment="1">
      <alignment horizontal="left" vertical="center"/>
    </xf>
    <xf numFmtId="0" fontId="4" fillId="13" borderId="1" xfId="0" applyFont="1" applyFill="1" applyBorder="1" applyAlignment="1">
      <alignment horizontal="left" vertical="center" wrapText="1"/>
    </xf>
    <xf numFmtId="0" fontId="4" fillId="13" borderId="1" xfId="0" quotePrefix="1" applyFont="1" applyFill="1" applyBorder="1" applyAlignment="1">
      <alignment horizontal="left" vertical="center" wrapText="1"/>
    </xf>
    <xf numFmtId="0" fontId="4" fillId="13" borderId="1" xfId="0" applyFont="1" applyFill="1" applyBorder="1" applyAlignment="1">
      <alignment horizontal="left" vertical="center"/>
    </xf>
    <xf numFmtId="0" fontId="4" fillId="13" borderId="1" xfId="0" applyFont="1" applyFill="1" applyBorder="1" applyAlignment="1">
      <alignment horizontal="left"/>
    </xf>
    <xf numFmtId="0" fontId="4" fillId="13" borderId="1" xfId="0" applyFont="1" applyFill="1" applyBorder="1" applyAlignment="1">
      <alignment horizontal="center"/>
    </xf>
    <xf numFmtId="0" fontId="0" fillId="0" borderId="0" xfId="0" applyAlignment="1">
      <alignment horizontal="center" vertical="center" wrapText="1"/>
    </xf>
    <xf numFmtId="0" fontId="0" fillId="28" borderId="0" xfId="0" applyFill="1" applyAlignment="1">
      <alignment horizontal="center" vertical="center" wrapText="1"/>
    </xf>
    <xf numFmtId="0" fontId="4" fillId="23" borderId="0" xfId="0" applyFont="1" applyFill="1" applyAlignment="1">
      <alignment horizontal="left" vertical="center" wrapText="1"/>
    </xf>
    <xf numFmtId="0" fontId="0" fillId="17" borderId="0" xfId="0" applyFill="1" applyAlignment="1">
      <alignment horizontal="left" vertical="center" wrapText="1"/>
    </xf>
    <xf numFmtId="0" fontId="0" fillId="29" borderId="1" xfId="0" applyFill="1" applyBorder="1" applyAlignment="1">
      <alignment vertical="center" wrapText="1"/>
    </xf>
    <xf numFmtId="0" fontId="31" fillId="27" borderId="13" xfId="0" applyFont="1" applyFill="1" applyBorder="1" applyAlignment="1">
      <alignment horizontal="center" vertical="center"/>
    </xf>
    <xf numFmtId="0" fontId="31" fillId="27" borderId="14" xfId="0" applyFont="1" applyFill="1" applyBorder="1" applyAlignment="1">
      <alignment horizontal="center" vertical="center"/>
    </xf>
    <xf numFmtId="0" fontId="31" fillId="27" borderId="23" xfId="0" applyFont="1" applyFill="1" applyBorder="1" applyAlignment="1">
      <alignment horizontal="center" vertical="center"/>
    </xf>
    <xf numFmtId="0" fontId="31" fillId="21" borderId="5"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14" borderId="1" xfId="0" applyFill="1" applyBorder="1" applyAlignment="1">
      <alignment horizontal="center"/>
    </xf>
    <xf numFmtId="0" fontId="0" fillId="22" borderId="1" xfId="0" applyFill="1" applyBorder="1" applyAlignment="1">
      <alignment horizontal="center" vertical="center"/>
    </xf>
    <xf numFmtId="0" fontId="20" fillId="13" borderId="5"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20" fillId="13" borderId="4" xfId="0" applyFont="1" applyFill="1" applyBorder="1" applyAlignment="1">
      <alignment horizontal="center" vertical="center" wrapText="1"/>
    </xf>
    <xf numFmtId="0" fontId="20" fillId="13" borderId="13" xfId="0" applyFont="1" applyFill="1" applyBorder="1" applyAlignment="1">
      <alignment horizontal="center" vertical="center" wrapText="1"/>
    </xf>
    <xf numFmtId="0" fontId="20" fillId="13" borderId="15" xfId="0" applyFont="1" applyFill="1" applyBorder="1" applyAlignment="1">
      <alignment horizontal="center" vertical="center" wrapText="1"/>
    </xf>
    <xf numFmtId="0" fontId="20" fillId="13" borderId="23" xfId="0" applyFont="1" applyFill="1" applyBorder="1" applyAlignment="1">
      <alignment horizontal="center" vertical="center" wrapText="1"/>
    </xf>
    <xf numFmtId="0" fontId="20" fillId="13" borderId="21" xfId="0" applyFont="1" applyFill="1" applyBorder="1" applyAlignment="1">
      <alignment horizontal="center" vertical="center" wrapText="1"/>
    </xf>
    <xf numFmtId="0" fontId="20" fillId="13" borderId="25" xfId="0" applyFont="1" applyFill="1" applyBorder="1" applyAlignment="1">
      <alignment horizontal="center" vertical="center" wrapText="1"/>
    </xf>
    <xf numFmtId="0" fontId="4" fillId="13" borderId="20" xfId="0" applyFont="1" applyFill="1" applyBorder="1" applyAlignment="1">
      <alignment horizontal="center" vertical="center" wrapText="1"/>
    </xf>
    <xf numFmtId="0" fontId="4" fillId="13" borderId="24" xfId="0" applyFont="1" applyFill="1" applyBorder="1" applyAlignment="1">
      <alignment horizontal="center" vertical="center" wrapText="1"/>
    </xf>
    <xf numFmtId="0" fontId="4" fillId="13" borderId="33" xfId="0" applyFont="1" applyFill="1" applyBorder="1" applyAlignment="1">
      <alignment horizontal="center" vertical="center" wrapText="1"/>
    </xf>
    <xf numFmtId="0" fontId="4" fillId="13" borderId="14" xfId="0" quotePrefix="1" applyFont="1" applyFill="1" applyBorder="1" applyAlignment="1">
      <alignment horizontal="center" vertical="center" wrapText="1"/>
    </xf>
    <xf numFmtId="0" fontId="4" fillId="13" borderId="1" xfId="0" quotePrefix="1" applyFont="1" applyFill="1" applyBorder="1" applyAlignment="1">
      <alignment horizontal="center" vertical="center" wrapText="1"/>
    </xf>
    <xf numFmtId="0" fontId="0" fillId="0" borderId="12" xfId="0" applyBorder="1" applyAlignment="1">
      <alignment horizontal="center" vertical="center"/>
    </xf>
    <xf numFmtId="0" fontId="0" fillId="0" borderId="27" xfId="0" applyBorder="1" applyAlignment="1">
      <alignment horizontal="center" vertical="center"/>
    </xf>
    <xf numFmtId="0" fontId="18" fillId="12" borderId="13"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5" xfId="0" applyFont="1" applyFill="1" applyBorder="1" applyAlignment="1">
      <alignment horizontal="center" vertical="center"/>
    </xf>
    <xf numFmtId="0" fontId="18" fillId="12" borderId="16" xfId="0" applyFont="1" applyFill="1" applyBorder="1" applyAlignment="1">
      <alignment horizontal="center" vertical="center"/>
    </xf>
    <xf numFmtId="0" fontId="18" fillId="12" borderId="17" xfId="0" applyFont="1" applyFill="1" applyBorder="1" applyAlignment="1">
      <alignment horizontal="center" vertical="center"/>
    </xf>
    <xf numFmtId="0" fontId="18" fillId="12" borderId="18" xfId="0" applyFont="1" applyFill="1" applyBorder="1" applyAlignment="1">
      <alignment horizontal="center" vertical="center"/>
    </xf>
    <xf numFmtId="0" fontId="18" fillId="12" borderId="19" xfId="0" applyFont="1" applyFill="1" applyBorder="1" applyAlignment="1">
      <alignment horizontal="center" vertical="center"/>
    </xf>
    <xf numFmtId="0" fontId="19" fillId="12" borderId="20" xfId="0" applyFont="1" applyFill="1" applyBorder="1" applyAlignment="1">
      <alignment horizontal="center" wrapText="1"/>
    </xf>
    <xf numFmtId="0" fontId="19" fillId="12" borderId="24" xfId="0" applyFont="1" applyFill="1" applyBorder="1" applyAlignment="1">
      <alignment horizontal="center"/>
    </xf>
    <xf numFmtId="0" fontId="19" fillId="12" borderId="33" xfId="0" applyFont="1" applyFill="1" applyBorder="1" applyAlignment="1">
      <alignment horizontal="center"/>
    </xf>
    <xf numFmtId="0" fontId="20" fillId="13" borderId="21" xfId="0" applyFont="1" applyFill="1" applyBorder="1" applyAlignment="1">
      <alignment horizontal="center" vertical="center"/>
    </xf>
    <xf numFmtId="0" fontId="20" fillId="13" borderId="28" xfId="0" applyFont="1" applyFill="1" applyBorder="1" applyAlignment="1">
      <alignment horizontal="center" vertical="center"/>
    </xf>
    <xf numFmtId="0" fontId="20" fillId="13" borderId="1" xfId="0" applyFont="1" applyFill="1" applyBorder="1" applyAlignment="1">
      <alignment horizontal="center" vertical="center"/>
    </xf>
    <xf numFmtId="0" fontId="20" fillId="13" borderId="29" xfId="0" applyFont="1" applyFill="1" applyBorder="1" applyAlignment="1">
      <alignment horizontal="center" vertical="center"/>
    </xf>
    <xf numFmtId="0" fontId="4" fillId="13" borderId="4" xfId="0" applyFont="1" applyFill="1" applyBorder="1" applyAlignment="1">
      <alignment horizontal="center" vertical="center"/>
    </xf>
    <xf numFmtId="0" fontId="4" fillId="13" borderId="30" xfId="0" applyFont="1" applyFill="1" applyBorder="1" applyAlignment="1">
      <alignment horizontal="center" vertical="center"/>
    </xf>
    <xf numFmtId="0" fontId="20" fillId="13" borderId="22" xfId="0" applyFont="1" applyFill="1" applyBorder="1" applyAlignment="1">
      <alignment horizontal="center" vertical="center" wrapText="1"/>
    </xf>
    <xf numFmtId="0" fontId="20" fillId="13" borderId="14" xfId="0" applyFont="1" applyFill="1" applyBorder="1" applyAlignment="1">
      <alignment horizontal="center" vertical="center" wrapText="1"/>
    </xf>
    <xf numFmtId="0" fontId="4" fillId="13" borderId="13" xfId="0" quotePrefix="1" applyFont="1" applyFill="1" applyBorder="1" applyAlignment="1">
      <alignment horizontal="center" vertical="center" wrapText="1"/>
    </xf>
    <xf numFmtId="0" fontId="4" fillId="13" borderId="23" xfId="0" quotePrefix="1" applyFont="1" applyFill="1" applyBorder="1" applyAlignment="1">
      <alignment horizontal="center" vertical="center" wrapText="1"/>
    </xf>
    <xf numFmtId="0" fontId="4" fillId="13" borderId="21" xfId="0" quotePrefix="1" applyFont="1" applyFill="1" applyBorder="1" applyAlignment="1">
      <alignment horizontal="center" vertical="center" wrapText="1"/>
    </xf>
    <xf numFmtId="0" fontId="4" fillId="13" borderId="25" xfId="0" quotePrefix="1" applyFont="1" applyFill="1" applyBorder="1" applyAlignment="1">
      <alignment horizontal="center" vertical="center" wrapText="1"/>
    </xf>
    <xf numFmtId="0" fontId="4" fillId="14" borderId="5" xfId="0" applyFont="1" applyFill="1" applyBorder="1" applyAlignment="1">
      <alignment horizontal="center" vertical="center"/>
    </xf>
    <xf numFmtId="0" fontId="4" fillId="14" borderId="1" xfId="0" applyFont="1" applyFill="1" applyBorder="1" applyAlignment="1">
      <alignment horizontal="center" vertical="center"/>
    </xf>
    <xf numFmtId="0" fontId="4" fillId="14" borderId="4"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36" xfId="0" applyFont="1" applyFill="1" applyBorder="1" applyAlignment="1">
      <alignment horizontal="center" vertical="center" wrapText="1"/>
    </xf>
    <xf numFmtId="0" fontId="0" fillId="0" borderId="10" xfId="0" applyBorder="1" applyAlignment="1"/>
    <xf numFmtId="0" fontId="0" fillId="0" borderId="3" xfId="0" applyBorder="1" applyAlignment="1"/>
    <xf numFmtId="0" fontId="0" fillId="0" borderId="10" xfId="0" applyBorder="1" applyAlignment="1">
      <alignment vertical="center"/>
    </xf>
    <xf numFmtId="0" fontId="0" fillId="0" borderId="11" xfId="0" applyBorder="1" applyAlignment="1">
      <alignment vertical="center"/>
    </xf>
    <xf numFmtId="0" fontId="0" fillId="0" borderId="3" xfId="0" applyBorder="1" applyAlignment="1">
      <alignment vertical="center"/>
    </xf>
    <xf numFmtId="0" fontId="0" fillId="0" borderId="0" xfId="0" applyAlignment="1">
      <alignment horizontal="center"/>
    </xf>
    <xf numFmtId="0" fontId="4" fillId="13" borderId="1" xfId="0" applyFont="1" applyFill="1" applyBorder="1" applyAlignment="1">
      <alignment horizontal="center" vertical="center" wrapText="1"/>
    </xf>
    <xf numFmtId="0" fontId="4" fillId="13" borderId="4" xfId="0" applyFont="1" applyFill="1" applyBorder="1" applyAlignment="1">
      <alignment horizontal="center" vertical="center" wrapText="1"/>
    </xf>
    <xf numFmtId="0" fontId="4" fillId="13" borderId="21" xfId="0" applyFont="1" applyFill="1" applyBorder="1" applyAlignment="1">
      <alignment horizontal="center" vertical="center"/>
    </xf>
    <xf numFmtId="0" fontId="4" fillId="13" borderId="28" xfId="0" applyFont="1" applyFill="1" applyBorder="1" applyAlignment="1">
      <alignment horizontal="center" vertical="center"/>
    </xf>
    <xf numFmtId="0" fontId="4" fillId="13" borderId="1" xfId="0" applyFont="1" applyFill="1" applyBorder="1" applyAlignment="1">
      <alignment horizontal="center" vertical="center"/>
    </xf>
    <xf numFmtId="0" fontId="4" fillId="13" borderId="29" xfId="0" applyFont="1" applyFill="1" applyBorder="1" applyAlignment="1">
      <alignment horizontal="center" vertical="center"/>
    </xf>
    <xf numFmtId="0" fontId="4" fillId="13" borderId="21" xfId="0" applyFont="1" applyFill="1" applyBorder="1" applyAlignment="1">
      <alignment horizontal="center" vertical="center" wrapText="1"/>
    </xf>
    <xf numFmtId="0" fontId="4" fillId="13" borderId="26" xfId="0" applyFont="1" applyFill="1" applyBorder="1" applyAlignment="1">
      <alignment horizontal="center" vertical="center" wrapText="1"/>
    </xf>
    <xf numFmtId="0" fontId="4" fillId="13" borderId="36" xfId="0" applyFont="1" applyFill="1" applyBorder="1" applyAlignment="1">
      <alignment horizontal="center" vertical="center" wrapText="1"/>
    </xf>
    <xf numFmtId="0" fontId="0" fillId="0" borderId="0" xfId="0" applyAlignment="1">
      <alignment horizontal="left" vertical="center" wrapText="1"/>
    </xf>
    <xf numFmtId="0" fontId="18" fillId="12" borderId="1" xfId="0" applyFont="1" applyFill="1"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center" vertical="center"/>
    </xf>
    <xf numFmtId="0" fontId="0" fillId="0" borderId="6" xfId="0" applyBorder="1" applyAlignment="1">
      <alignment horizontal="center" vertical="center"/>
    </xf>
    <xf numFmtId="0" fontId="0" fillId="0" borderId="38"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4" fillId="26" borderId="1" xfId="0" applyFont="1" applyFill="1" applyBorder="1" applyAlignment="1">
      <alignment horizontal="center"/>
    </xf>
    <xf numFmtId="0" fontId="0" fillId="0" borderId="1" xfId="0" applyBorder="1" applyAlignment="1">
      <alignment horizontal="center" vertical="center"/>
    </xf>
    <xf numFmtId="0" fontId="4" fillId="13" borderId="45" xfId="0" applyFont="1" applyFill="1" applyBorder="1" applyAlignment="1">
      <alignment horizontal="center" vertical="center"/>
    </xf>
    <xf numFmtId="0" fontId="4" fillId="13" borderId="5" xfId="0" applyFont="1" applyFill="1" applyBorder="1" applyAlignment="1">
      <alignment horizontal="center" vertical="center"/>
    </xf>
    <xf numFmtId="0" fontId="4" fillId="0" borderId="1" xfId="0" applyFont="1" applyBorder="1" applyAlignment="1">
      <alignment horizontal="center" vertical="center" wrapText="1"/>
    </xf>
    <xf numFmtId="0" fontId="10" fillId="9" borderId="8" xfId="0" applyFont="1" applyFill="1" applyBorder="1" applyAlignment="1">
      <alignment horizontal="left" vertical="center"/>
    </xf>
    <xf numFmtId="0" fontId="4" fillId="0" borderId="0" xfId="0" applyFont="1" applyAlignment="1">
      <alignment horizontal="center"/>
    </xf>
    <xf numFmtId="0" fontId="10" fillId="9" borderId="6" xfId="0" applyFont="1" applyFill="1" applyBorder="1" applyAlignment="1">
      <alignment horizontal="left" vertical="center"/>
    </xf>
    <xf numFmtId="0" fontId="10" fillId="9" borderId="7" xfId="0" applyFont="1" applyFill="1" applyBorder="1" applyAlignment="1">
      <alignment horizontal="left"/>
    </xf>
    <xf numFmtId="0" fontId="10" fillId="9" borderId="9" xfId="0" applyFont="1" applyFill="1" applyBorder="1" applyAlignment="1">
      <alignment horizontal="left"/>
    </xf>
  </cellXfs>
  <cellStyles count="5">
    <cellStyle name="Good" xfId="2" builtinId="26"/>
    <cellStyle name="Hyperlink" xfId="4" builtinId="8"/>
    <cellStyle name="Neutral" xfId="3" builtinId="28"/>
    <cellStyle name="Normal" xfId="0" builtinId="0"/>
    <cellStyle name="Percent" xfId="1" builtinId="5"/>
  </cellStyles>
  <dxfs count="40">
    <dxf>
      <font>
        <color theme="0"/>
      </font>
      <fill>
        <patternFill>
          <bgColor rgb="FF00B050"/>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outline="0">
        <right style="thin">
          <color indexed="64"/>
        </right>
      </border>
    </dxf>
    <dxf>
      <font>
        <b/>
        <i val="0"/>
        <strike val="0"/>
        <condense val="0"/>
        <extend val="0"/>
        <outline val="0"/>
        <shadow val="0"/>
        <u val="none"/>
        <vertAlign val="baseline"/>
        <sz val="11"/>
        <color theme="1"/>
        <name val="Calibri"/>
        <family val="2"/>
        <scheme val="minor"/>
      </font>
      <fill>
        <patternFill patternType="solid">
          <fgColor indexed="64"/>
          <bgColor theme="8" tint="0.79998168889431442"/>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top style="thin">
          <color rgb="FF000000"/>
        </top>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0A49477C-EE7E-4E2A-A2D9-5FD308630C20}"/>
  </tableStyles>
  <colors>
    <mruColors>
      <color rgb="FF009900"/>
      <color rgb="FFCCFF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2148840</xdr:colOff>
      <xdr:row>3</xdr:row>
      <xdr:rowOff>19050</xdr:rowOff>
    </xdr:from>
    <xdr:to>
      <xdr:col>3</xdr:col>
      <xdr:colOff>588645</xdr:colOff>
      <xdr:row>14</xdr:row>
      <xdr:rowOff>53340</xdr:rowOff>
    </xdr:to>
    <mc:AlternateContent xmlns:mc="http://schemas.openxmlformats.org/markup-compatibility/2006" xmlns:sle15="http://schemas.microsoft.com/office/drawing/2012/slicer">
      <mc:Choice Requires="sle15">
        <xdr:graphicFrame macro="">
          <xdr:nvGraphicFramePr>
            <xdr:cNvPr id="2" name="COST (Free / Subscription / One-off)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ST (Free / Subscription / One-off) 1"/>
            </a:graphicData>
          </a:graphic>
        </xdr:graphicFrame>
      </mc:Choice>
      <mc:Fallback xmlns="">
        <xdr:sp macro="" textlink="">
          <xdr:nvSpPr>
            <xdr:cNvPr id="0" name=""/>
            <xdr:cNvSpPr>
              <a:spLocks noTextEdit="1"/>
            </xdr:cNvSpPr>
          </xdr:nvSpPr>
          <xdr:spPr>
            <a:xfrm>
              <a:off x="7536180" y="533400"/>
              <a:ext cx="1828800" cy="19488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876300</xdr:colOff>
      <xdr:row>3</xdr:row>
      <xdr:rowOff>19050</xdr:rowOff>
    </xdr:from>
    <xdr:to>
      <xdr:col>4</xdr:col>
      <xdr:colOff>1234440</xdr:colOff>
      <xdr:row>14</xdr:row>
      <xdr:rowOff>91440</xdr:rowOff>
    </xdr:to>
    <mc:AlternateContent xmlns:mc="http://schemas.openxmlformats.org/markup-compatibility/2006" xmlns:sle15="http://schemas.microsoft.com/office/drawing/2012/slicer">
      <mc:Choice Requires="sle15">
        <xdr:graphicFrame macro="">
          <xdr:nvGraphicFramePr>
            <xdr:cNvPr id="3" name="Hosting (Cloud/On-prem)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Hosting (Cloud/On-prem) 1"/>
            </a:graphicData>
          </a:graphic>
        </xdr:graphicFrame>
      </mc:Choice>
      <mc:Fallback xmlns="">
        <xdr:sp macro="" textlink="">
          <xdr:nvSpPr>
            <xdr:cNvPr id="0" name=""/>
            <xdr:cNvSpPr>
              <a:spLocks noTextEdit="1"/>
            </xdr:cNvSpPr>
          </xdr:nvSpPr>
          <xdr:spPr>
            <a:xfrm>
              <a:off x="9645015" y="529590"/>
              <a:ext cx="1828800" cy="1990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15240</xdr:colOff>
      <xdr:row>2</xdr:row>
      <xdr:rowOff>167640</xdr:rowOff>
    </xdr:from>
    <xdr:to>
      <xdr:col>4</xdr:col>
      <xdr:colOff>1844040</xdr:colOff>
      <xdr:row>13</xdr:row>
      <xdr:rowOff>133350</xdr:rowOff>
    </xdr:to>
    <mc:AlternateContent xmlns:mc="http://schemas.openxmlformats.org/markup-compatibility/2006" xmlns:sle15="http://schemas.microsoft.com/office/drawing/2012/slicer">
      <mc:Choice Requires="sle15">
        <xdr:graphicFrame macro="">
          <xdr:nvGraphicFramePr>
            <xdr:cNvPr id="4" name="COST (Free / Subscription / One-off)">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ST (Free / Subscription / One-off)"/>
            </a:graphicData>
          </a:graphic>
        </xdr:graphicFrame>
      </mc:Choice>
      <mc:Fallback xmlns="">
        <xdr:sp macro="" textlink="">
          <xdr:nvSpPr>
            <xdr:cNvPr id="0" name=""/>
            <xdr:cNvSpPr>
              <a:spLocks noTextEdit="1"/>
            </xdr:cNvSpPr>
          </xdr:nvSpPr>
          <xdr:spPr>
            <a:xfrm>
              <a:off x="7534275" y="525780"/>
              <a:ext cx="1828800" cy="19564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2133600</xdr:colOff>
      <xdr:row>2</xdr:row>
      <xdr:rowOff>171450</xdr:rowOff>
    </xdr:from>
    <xdr:to>
      <xdr:col>5</xdr:col>
      <xdr:colOff>1640205</xdr:colOff>
      <xdr:row>13</xdr:row>
      <xdr:rowOff>171450</xdr:rowOff>
    </xdr:to>
    <mc:AlternateContent xmlns:mc="http://schemas.openxmlformats.org/markup-compatibility/2006" xmlns:sle15="http://schemas.microsoft.com/office/drawing/2012/slicer">
      <mc:Choice Requires="sle15">
        <xdr:graphicFrame macro="">
          <xdr:nvGraphicFramePr>
            <xdr:cNvPr id="5" name="Hosting (Cloud/On-prem)">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Hosting (Cloud/On-prem)"/>
            </a:graphicData>
          </a:graphic>
        </xdr:graphicFrame>
      </mc:Choice>
      <mc:Fallback xmlns="">
        <xdr:sp macro="" textlink="">
          <xdr:nvSpPr>
            <xdr:cNvPr id="0" name=""/>
            <xdr:cNvSpPr>
              <a:spLocks noTextEdit="1"/>
            </xdr:cNvSpPr>
          </xdr:nvSpPr>
          <xdr:spPr>
            <a:xfrm>
              <a:off x="9648825" y="523875"/>
              <a:ext cx="1830705" cy="1990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3200400</xdr:colOff>
          <xdr:row>14</xdr:row>
          <xdr:rowOff>38100</xdr:rowOff>
        </xdr:from>
        <xdr:to>
          <xdr:col>3</xdr:col>
          <xdr:colOff>281940</xdr:colOff>
          <xdr:row>14</xdr:row>
          <xdr:rowOff>259080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C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 by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2049780</xdr:colOff>
          <xdr:row>14</xdr:row>
          <xdr:rowOff>53340</xdr:rowOff>
        </xdr:from>
        <xdr:to>
          <xdr:col>1</xdr:col>
          <xdr:colOff>3154680</xdr:colOff>
          <xdr:row>14</xdr:row>
          <xdr:rowOff>259080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C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 by Area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Maboa, Thabang" id="{FBC934F0-8511-4B72-96C5-C5ABD2161844}" userId="S::thabang.maboa@accenture.com::c427e460-982c-4acf-b943-546321da8813" providerId="AD"/>
  <person displayName="Rouland, Marielle" id="{E2EE867C-DA8D-40A5-9C72-0AF6E1FCF08E}" userId="S::marielle.rouland@accenture.com::271f6448-2fbc-4334-b1c7-22ac1acae522" providerId="AD"/>
  <person displayName="Nur, Zabeen Yusuf" id="{58417AFB-6B41-4736-8EA2-F5213974C2CB}" userId="S::zabeen.yusuf.nur@accenture.com::3ef246a1-be0f-4b9f-b526-fdca5541ec7c" providerId="AD"/>
</personLis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_Free___Subscription___One_off" xr10:uid="{D1A13174-49F7-467D-A00E-70208C8152B3}" sourceName="COST (Free / Subscription / One-off)">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sting__Cloud_On_prem" xr10:uid="{11B909C9-2CEF-47BC-AD3F-FC8E816C69F8}" sourceName="Hosting (Cloud/On-prem)">
  <extLst>
    <x:ext xmlns:x15="http://schemas.microsoft.com/office/spreadsheetml/2010/11/main" uri="{2F2917AC-EB37-4324-AD4E-5DD8C200BD13}">
      <x15:tableSlicerCache tableId="5"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__Free___Subscription___One_off1" xr10:uid="{4CDA0867-278E-4FDE-8CC1-ED7035448C8B}" sourceName="COST (Free / Subscription / One-off)">
  <extLst>
    <x:ext xmlns:x15="http://schemas.microsoft.com/office/spreadsheetml/2010/11/main" uri="{2F2917AC-EB37-4324-AD4E-5DD8C200BD13}">
      <x15:tableSlicerCache tableId="1"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sting__Cloud_On_prem1" xr10:uid="{3002F167-3E4A-4A6D-911A-C07D0F1B6B35}" sourceName="Hosting (Cloud/On-prem)">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ST (Free / Subscription / One-off) 1" xr10:uid="{9C563CB6-4629-4BDC-97E8-48A86F526345}" cache="Slicer_COST__Free___Subscription___One_off1" caption="COST (Free / Subscription / One-off)" rowHeight="234950"/>
  <slicer name="Hosting (Cloud/On-prem) 1" xr10:uid="{BFEEB899-0346-42ED-814E-00A7148D4632}" cache="Slicer_Hosting__Cloud_On_prem1" caption="Hosting (Cloud/On-prem)"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ST (Free / Subscription / One-off)" xr10:uid="{E23BC8BB-5892-44B3-B66D-81E29C4B4FBF}" cache="Slicer_COST__Free___Subscription___One_off" caption="COST (Free / Subscription / One-off)" rowHeight="234950"/>
  <slicer name="Hosting (Cloud/On-prem)" xr10:uid="{E3EFE853-4A3C-43EF-864D-884DA06C42EF}" cache="Slicer_Hosting__Cloud_On_prem" caption="Hosting (Cloud/On-prem)"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CC701D-9A5E-4A2E-BE5C-8DC06D85DA10}" name="Table52" displayName="Table52" ref="A16:O199" totalsRowShown="0" headerRowDxfId="39" dataDxfId="38" tableBorderDxfId="37">
  <autoFilter ref="A16:O199" xr:uid="{610E4C47-0787-45E4-AFE1-B533DD110700}"/>
  <tableColumns count="15">
    <tableColumn id="1" xr3:uid="{84C1F2FE-EC16-4E28-AA3B-38A44CFBE8D6}" name="Bundle" dataDxfId="36"/>
    <tableColumn id="2" xr3:uid="{951F31AB-D56A-4554-8B93-C2A6F42FF1B9}" name="Group" dataDxfId="35"/>
    <tableColumn id="3" xr3:uid="{C0A05E56-54CA-43FA-846E-21A5FC122C0A}" name="Sub-group" dataDxfId="34"/>
    <tableColumn id="16" xr3:uid="{D7C2D878-59B2-4FF1-87D5-FA47940DBA7C}" name="Asset Category" dataDxfId="33"/>
    <tableColumn id="4" xr3:uid="{4902B851-2175-49CD-BC9C-DC971403268F}" name="Tools" dataDxfId="32"/>
    <tableColumn id="5" xr3:uid="{1C14408B-3071-4084-AF58-9F828E65A570}" name="COST (Free / Subscription / One-off)" dataDxfId="31"/>
    <tableColumn id="6" xr3:uid="{3D4ABAA0-84AB-4455-A01F-4A93CD077736}" name="Hosting (Cloud/On-prem)" dataDxfId="30"/>
    <tableColumn id="7" xr3:uid="{1FB521D0-62CC-4403-89E2-208A24484EE4}" name="ANZ" dataDxfId="29"/>
    <tableColumn id="8" xr3:uid="{226812AE-51D2-4102-A733-88F148EFCAD5}" name="Africa" dataDxfId="28"/>
    <tableColumn id="9" xr3:uid="{D19861D9-1310-471C-9AA7-702EE7196F86}" name="SEA" dataDxfId="27"/>
    <tableColumn id="10" xr3:uid="{22524E8D-99BE-491B-ADF7-787F9CCF6F34}" name="Japan" dataDxfId="26"/>
    <tableColumn id="11" xr3:uid="{E97DC47B-224C-40A2-90D1-2E43D3740283}" name="GC" dataDxfId="25"/>
    <tableColumn id="12" xr3:uid="{539B0171-3E4A-4DD3-A940-958F6D536358}" name="ME" dataDxfId="24"/>
    <tableColumn id="13" xr3:uid="{73E8DFAB-5912-4B58-9AD1-F8AA4C12859F}" name="Shared Service" dataDxfId="23"/>
    <tableColumn id="14" xr3:uid="{25B065D6-EB56-486E-9B81-1D96DAC4A2BE}" name="Global Team" dataDxfId="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D106F8-F275-4902-AE54-FAF572992E82}" name="Table5" displayName="Table5" ref="A16:N122" totalsRowShown="0" headerRowDxfId="21" dataDxfId="20" tableBorderDxfId="19">
  <autoFilter ref="A16:N122" xr:uid="{610E4C47-0787-45E4-AFE1-B533DD110700}">
    <filterColumn colId="4">
      <filters>
        <filter val="F"/>
      </filters>
    </filterColumn>
  </autoFilter>
  <tableColumns count="14">
    <tableColumn id="1" xr3:uid="{35D51822-1FDB-42D8-A382-BA04F5CB9305}" name="Bundle" dataDxfId="18"/>
    <tableColumn id="2" xr3:uid="{C992C763-BD24-4D6E-A048-4F774C9C1ABC}" name="Group" dataDxfId="17"/>
    <tableColumn id="3" xr3:uid="{FB9BD6D0-C980-4685-AA94-DC3947126150}" name="Sub-group" dataDxfId="16"/>
    <tableColumn id="4" xr3:uid="{2E018F12-EA0F-481C-A790-14B2E0391122}" name="Tools" dataDxfId="15"/>
    <tableColumn id="5" xr3:uid="{7BE72146-8943-4DA6-AA14-C53104A688F2}" name="COST (Free / Subscription / One-off)" dataDxfId="14"/>
    <tableColumn id="6" xr3:uid="{EB049CE4-8839-4EAA-9FC2-6F1DEFBA34D9}" name="Hosting (Cloud/On-prem)" dataDxfId="13"/>
    <tableColumn id="7" xr3:uid="{21D59F33-3A7C-4095-9B64-D72AD1B2E922}" name="ANZ" dataDxfId="12"/>
    <tableColumn id="8" xr3:uid="{89AD30A5-98F6-47F0-ABDB-39A74A7FCE8D}" name="Africa" dataDxfId="11"/>
    <tableColumn id="9" xr3:uid="{E1ADE1D4-4784-42AB-B449-6AB25A083DEE}" name="SEA" dataDxfId="10"/>
    <tableColumn id="10" xr3:uid="{4739A4AD-7B31-4529-9AB7-EA49F33452EA}" name="Japan" dataDxfId="9"/>
    <tableColumn id="11" xr3:uid="{05B4433E-3C04-4ADF-80FB-C9E44FB5D723}" name="GC" dataDxfId="8"/>
    <tableColumn id="12" xr3:uid="{E3CFC87D-D97E-404C-B2A0-203EB6CD9434}" name="ME" dataDxfId="7"/>
    <tableColumn id="13" xr3:uid="{5D0092E7-0FC6-47B2-A4B1-3D4C65252F65}" name="Shared Service" dataDxfId="6"/>
    <tableColumn id="14" xr3:uid="{36831F4E-09E3-4D6F-B260-5D8C7412FB0E}" name="Global Team"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 dT="2021-01-28T13:18:25.35" personId="{E2EE867C-DA8D-40A5-9C72-0AF6E1FCF08E}" id="{4B094361-F98A-43AF-A539-60FE5CED9BB2}" done="1">
    <text>should rename to mETS (instead of ADT)</text>
  </threadedComment>
  <threadedComment ref="I2" dT="2021-01-28T13:17:40.92" personId="{E2EE867C-DA8D-40A5-9C72-0AF6E1FCF08E}" id="{0C691788-ED10-4349-995F-96F3D2D553DD}" done="1">
    <text>this column is empty - should be removed</text>
  </threadedComment>
  <threadedComment ref="G3" dT="2021-01-28T12:57:28.07" personId="{E2EE867C-DA8D-40A5-9C72-0AF6E1FCF08E}" id="{793AB2F2-C97E-4A26-96A0-4C9F4C2C08DF}">
    <text>this lever is not related to assets/should remove</text>
  </threadedComment>
  <threadedComment ref="G3" dT="2021-03-04T10:35:21.89" personId="{58417AFB-6B41-4736-8EA2-F5213974C2CB}" id="{3618B53D-BAAC-4A1D-BD0E-8ACF4F945889}" parentId="{793AB2F2-C97E-4A26-96A0-4C9F4C2C08DF}">
    <text>Ok, please remove</text>
  </threadedComment>
  <threadedComment ref="G3" dT="2021-03-04T10:36:54.41" personId="{58417AFB-6B41-4736-8EA2-F5213974C2CB}" id="{33F3EA9A-CECC-405F-9DE8-C54DEDDF7BBC}" parentId="{793AB2F2-C97E-4A26-96A0-4C9F4C2C08DF}">
    <text>Please recommend the next level actions (like nominate a person to be accountable for the automation/opera agenda on the contract).</text>
  </threadedComment>
  <threadedComment ref="G3" dT="2021-03-04T10:37:24.15" personId="{58417AFB-6B41-4736-8EA2-F5213974C2CB}" id="{88304469-83BF-4A18-83E9-6B9055649377}" parentId="{793AB2F2-C97E-4A26-96A0-4C9F4C2C08DF}">
    <text>Knowledge development through exploring mywizard2.0</text>
  </threadedComment>
  <threadedComment ref="D4" dT="2021-01-28T12:57:53.37" personId="{E2EE867C-DA8D-40A5-9C72-0AF6E1FCF08E}" id="{CBA524CC-ABAA-4E3F-8031-75564EC4FC74}">
    <text>ATR is not very adequate for this lever</text>
  </threadedComment>
  <threadedComment ref="G4" dT="2021-01-28T12:56:32.66" personId="{E2EE867C-DA8D-40A5-9C72-0AF6E1FCF08E}" id="{AB087330-6522-4BE0-9AD1-A419B847619D}" done="1">
    <text>www.custover.com - as commercial tool can be suggested</text>
  </threadedComment>
  <threadedComment ref="G4" dT="2021-03-04T10:37:46.66" personId="{58417AFB-6B41-4736-8EA2-F5213974C2CB}" id="{BEFBE1A9-26C4-453C-BB2E-813B0DFFA553}" parentId="{AB087330-6522-4BE0-9AD1-A419B847619D}">
    <text>Sure, please add</text>
  </threadedComment>
  <threadedComment ref="G4" dT="2021-03-04T10:38:02.60" personId="{58417AFB-6B41-4736-8EA2-F5213974C2CB}" id="{8F5B184A-8C90-4F39-B68C-E22CC92DDB2D}" parentId="{AB087330-6522-4BE0-9AD1-A419B847619D}">
    <text>www.cutover.com</text>
  </threadedComment>
  <threadedComment ref="D5" dT="2021-01-28T13:19:45.27" personId="{E2EE867C-DA8D-40A5-9C72-0AF6E1FCF08E}" id="{222BAE0C-2C9F-4465-A923-766D8A87BF19}" done="1">
    <text>myWizard Governance is not AiOPS, and not analytics either</text>
  </threadedComment>
  <threadedComment ref="E5" dT="2021-01-28T13:19:23.36" personId="{E2EE867C-DA8D-40A5-9C72-0AF6E1FCF08E}" id="{8BB69731-0C5D-4453-AD34-6316E77A120B}">
    <text>Test Optimizer, Virtual Data Scientist</text>
  </threadedComment>
  <threadedComment ref="F5" dT="2021-01-28T13:17:53.39" personId="{E2EE867C-DA8D-40A5-9C72-0AF6E1FCF08E}" id="{68FC6AD5-659A-4A39-9F21-06809A594C79}">
    <text>This is ADT Tool</text>
  </threadedComment>
  <threadedComment ref="H5" dT="2021-01-28T13:17:53.39" personId="{E2EE867C-DA8D-40A5-9C72-0AF6E1FCF08E}" id="{C0E1DE0D-F53C-4790-B2C6-90758B1B0185}" done="1">
    <text>This is ADT Tool</text>
  </threadedComment>
  <threadedComment ref="H8" dT="2021-01-28T13:37:31.25" personId="{E2EE867C-DA8D-40A5-9C72-0AF6E1FCF08E}" id="{FD11E873-40AD-4726-9431-571509DAABBD}" done="1">
    <text>mETS PowerBI, MSPS SSRS reports, mETS Jira for PMO processes (Risk, Issue, deliverable, ...°</text>
  </threadedComment>
  <threadedComment ref="E9" dT="2021-01-28T13:38:21.65" personId="{E2EE867C-DA8D-40A5-9C72-0AF6E1FCF08E}" id="{EC41E307-DC48-4A5A-9D71-EF57A73FE79B}" done="1">
    <text>Release planner, Story Point Estimator (predictions)</text>
  </threadedComment>
  <threadedComment ref="C10" dT="2021-01-28T13:38:59.67" personId="{E2EE867C-DA8D-40A5-9C72-0AF6E1FCF08E}" id="{81860BCF-35E8-4489-AE85-3B89544F4EF9}">
    <text>this descritiption is not Risk Lever</text>
  </threadedComment>
  <threadedComment ref="F13" dT="2021-01-28T13:43:58.99" personId="{E2EE867C-DA8D-40A5-9C72-0AF6E1FCF08E}" id="{127F3338-BCBF-447D-8C25-3BF3B912BFA1}" done="1">
    <text>remove ADOP</text>
  </threadedComment>
  <threadedComment ref="H13" dT="2021-01-28T13:43:12.57" personId="{E2EE867C-DA8D-40A5-9C72-0AF6E1FCF08E}" id="{D293F5C7-F63E-4A67-9D7A-C59B994B2E00}" done="1">
    <text>BitBucket (part of mETS Jira solution)</text>
  </threadedComment>
  <threadedComment ref="F14" dT="2021-01-28T13:43:48.76" personId="{E2EE867C-DA8D-40A5-9C72-0AF6E1FCF08E}" id="{BAFB4E81-B11E-4A1A-875C-46BE7FC83DC1}" done="1">
    <text>remove ADOP</text>
  </threadedComment>
  <threadedComment ref="H15" dT="2021-01-28T13:44:50.91" personId="{E2EE867C-DA8D-40A5-9C72-0AF6E1FCF08E}" id="{1B0778CB-C0EF-4075-96E4-693C6F5487EF}" done="1">
    <text>ARA to be replaced by mETS Jira-requirement mgmt</text>
  </threadedComment>
  <threadedComment ref="E20" dT="2021-01-28T13:46:42.52" personId="{E2EE867C-DA8D-40A5-9C72-0AF6E1FCF08E}" id="{7A108FD6-DFAC-47DF-8525-B86A2117D5D4}" done="1">
    <text>AAES? or new name for Industry specific packages (SAP, Oracle, ...)  - as "non-myWizard)</text>
  </threadedComment>
  <threadedComment ref="E21" dT="2021-01-28T13:47:18.31" personId="{E2EE867C-DA8D-40A5-9C72-0AF6E1FCF08E}" id="{7A425456-3A59-4B77-A76B-72D394E095CE}" done="1">
    <text>Cygnus</text>
  </threadedComment>
  <threadedComment ref="E23" dT="2021-01-28T13:48:26.40" personId="{E2EE867C-DA8D-40A5-9C72-0AF6E1FCF08E}" id="{F975E199-D0F2-43EC-926C-346B05001156}" done="1">
    <text>remove Roadmap assistant (no ML), and add Release Planner, Story Point estimator</text>
  </threadedComment>
  <threadedComment ref="F24" dT="2021-01-28T13:49:25.04" personId="{E2EE867C-DA8D-40A5-9C72-0AF6E1FCF08E}" id="{31F6692E-B5F6-4A76-B1A0-9516A564FD4F}" done="1">
    <text>items in Red as part of myWizard for SI (move to correct column)</text>
  </threadedComment>
  <threadedComment ref="F25" dT="2021-01-28T13:51:31.83" personId="{E2EE867C-DA8D-40A5-9C72-0AF6E1FCF08E}" id="{C7B91E7E-F137-499F-AD35-861170266C26}" done="1">
    <text>same as above</text>
  </threadedComment>
  <threadedComment ref="F35" dT="2021-01-28T13:52:00.15" personId="{E2EE867C-DA8D-40A5-9C72-0AF6E1FCF08E}" id="{7BEA721B-DF91-42F0-9293-B735A2836BB1}" done="1">
    <text>myNav</text>
  </threadedComment>
  <threadedComment ref="D38" dT="2021-01-28T13:52:54.23" personId="{E2EE867C-DA8D-40A5-9C72-0AF6E1FCF08E}" id="{FB853FDC-DD94-465C-9635-8235AB58FE0B}" done="1">
    <text>Automated Ticket Resolver (ATR)</text>
  </threadedComment>
  <threadedComment ref="F40" dT="2021-01-28T13:53:50.91" personId="{E2EE867C-DA8D-40A5-9C72-0AF6E1FCF08E}" id="{CFDC2F35-86CE-4907-9688-5030B56F392B}" done="1">
    <text>CAST, SonarCube?</text>
  </threadedComment>
  <threadedComment ref="D43" dT="2021-01-28T13:54:27.79" personId="{E2EE867C-DA8D-40A5-9C72-0AF6E1FCF08E}" id="{3EDDFD56-55B9-43F0-9F37-C0CDAB21782C}" done="1">
    <text>AiOPS - Splunk monitoting &amp; alerting solutions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J1" dT="2020-08-26T09:30:47.91" personId="{FBC934F0-8511-4B72-96C5-C5ABD2161844}" id="{1FB70486-3054-4F0A-82C2-60613603F713}">
    <text>Engagement task</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in.accenture.com/accenturedeliverysuite/sdl-machine-translation-cloud/"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in.accenture.com/accenturedeliverysuite/" TargetMode="External"/><Relationship Id="rId3" Type="http://schemas.openxmlformats.org/officeDocument/2006/relationships/hyperlink" Target="https://ts.accenture.com/sites/APDAAPACinNGGM/myWizard/SitePages/myWizard-SI-Wiki.aspx" TargetMode="External"/><Relationship Id="rId7" Type="http://schemas.openxmlformats.org/officeDocument/2006/relationships/hyperlink" Target="https://in.accenture.com/deploymentenablement/si-transformation/delivery-fundamentals/" TargetMode="External"/><Relationship Id="rId2" Type="http://schemas.openxmlformats.org/officeDocument/2006/relationships/hyperlink" Target="https://collections.accenture.com/collection.aspx?b=2a9ab38c-c2f8-e811-817a-0a360102099e" TargetMode="External"/><Relationship Id="rId1" Type="http://schemas.openxmlformats.org/officeDocument/2006/relationships/hyperlink" Target="https://ts.accenture.com/sites/APDAAPACinNGGM/APD_Delivery_Control/APD_Innovation_Hub/SitePages/ANPD/ANPDPCS.aspx" TargetMode="External"/><Relationship Id="rId6" Type="http://schemas.openxmlformats.org/officeDocument/2006/relationships/hyperlink" Target="https://in.accenture.com/deploymentenablement/mypmo/" TargetMode="External"/><Relationship Id="rId11" Type="http://schemas.openxmlformats.org/officeDocument/2006/relationships/printerSettings" Target="../printerSettings/printerSettings8.bin"/><Relationship Id="rId5" Type="http://schemas.openxmlformats.org/officeDocument/2006/relationships/hyperlink" Target="https://dh.aiam.accenture.com/wiki/index.php/MyWizard360_for_Stack_Monitoring" TargetMode="External"/><Relationship Id="rId10" Type="http://schemas.openxmlformats.org/officeDocument/2006/relationships/hyperlink" Target="https://in.accenture.com/deploymentenablement/si-transformation/tools/" TargetMode="External"/><Relationship Id="rId4" Type="http://schemas.openxmlformats.org/officeDocument/2006/relationships/hyperlink" Target="https://mywizard-aiops.accenture.com/" TargetMode="External"/><Relationship Id="rId9" Type="http://schemas.openxmlformats.org/officeDocument/2006/relationships/hyperlink" Target="https://in.accenture.com/deploymentenablement/si-transformatio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alm.accenture.com/wiki/display/ATLASSIAN/Jira" TargetMode="External"/><Relationship Id="rId1" Type="http://schemas.openxmlformats.org/officeDocument/2006/relationships/hyperlink" Target="https://alm.accenture.com/wiki/display/ATW/Pric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1BCB3-921B-440B-A29E-B4BB8E315DEB}">
  <dimension ref="A1:I49"/>
  <sheetViews>
    <sheetView tabSelected="1" zoomScale="59" zoomScaleNormal="115" workbookViewId="0">
      <pane xSplit="3" ySplit="2" topLeftCell="E3" activePane="bottomRight" state="frozen"/>
      <selection pane="topRight" activeCell="D1" sqref="D1"/>
      <selection pane="bottomLeft" activeCell="A3" sqref="A3"/>
      <selection pane="bottomRight" activeCell="E5" sqref="E5"/>
    </sheetView>
  </sheetViews>
  <sheetFormatPr defaultColWidth="32.5546875" defaultRowHeight="14.4"/>
  <cols>
    <col min="1" max="2" width="32.5546875" style="40"/>
    <col min="3" max="3" width="46.88671875" style="293" customWidth="1"/>
    <col min="4" max="6" width="32.5546875" style="293"/>
    <col min="7" max="7" width="49.44140625" style="293" customWidth="1"/>
    <col min="8" max="9" width="32.5546875" style="293"/>
    <col min="10" max="16384" width="32.5546875" style="40"/>
  </cols>
  <sheetData>
    <row r="1" spans="1:9" ht="21">
      <c r="A1" s="307" t="s">
        <v>0</v>
      </c>
      <c r="B1" s="308"/>
      <c r="C1" s="309"/>
      <c r="D1" s="310" t="s">
        <v>1</v>
      </c>
      <c r="E1" s="311"/>
      <c r="F1" s="311"/>
      <c r="G1" s="311"/>
      <c r="H1" s="311"/>
      <c r="I1" s="311"/>
    </row>
    <row r="2" spans="1:9">
      <c r="A2" s="283" t="s">
        <v>2</v>
      </c>
      <c r="B2" s="284" t="s">
        <v>3</v>
      </c>
      <c r="C2" s="285" t="s">
        <v>4</v>
      </c>
      <c r="D2" s="286" t="s">
        <v>5</v>
      </c>
      <c r="E2" s="286" t="s">
        <v>6</v>
      </c>
      <c r="F2" s="287" t="s">
        <v>7</v>
      </c>
      <c r="G2" s="287" t="s">
        <v>8</v>
      </c>
      <c r="H2" s="287" t="s">
        <v>9</v>
      </c>
      <c r="I2" s="287" t="s">
        <v>10</v>
      </c>
    </row>
    <row r="3" spans="1:9" ht="187.2">
      <c r="A3" s="288" t="s">
        <v>11</v>
      </c>
      <c r="B3" s="289" t="s">
        <v>12</v>
      </c>
      <c r="C3" s="105" t="s">
        <v>13</v>
      </c>
      <c r="D3" s="290"/>
      <c r="E3" s="29"/>
      <c r="F3" s="29"/>
      <c r="G3" s="306" t="s">
        <v>14</v>
      </c>
      <c r="H3" s="29" t="s">
        <v>15</v>
      </c>
      <c r="I3" s="29"/>
    </row>
    <row r="4" spans="1:9" ht="216">
      <c r="A4" s="288" t="s">
        <v>11</v>
      </c>
      <c r="B4" s="289" t="s">
        <v>16</v>
      </c>
      <c r="C4" s="105" t="s">
        <v>17</v>
      </c>
      <c r="D4" s="290"/>
      <c r="E4" s="29"/>
      <c r="F4" s="29" t="s">
        <v>18</v>
      </c>
      <c r="G4" s="29" t="s">
        <v>19</v>
      </c>
      <c r="H4" s="29"/>
      <c r="I4" s="29"/>
    </row>
    <row r="5" spans="1:9" ht="117" customHeight="1">
      <c r="A5" s="288" t="s">
        <v>11</v>
      </c>
      <c r="B5" s="289" t="s">
        <v>20</v>
      </c>
      <c r="C5" s="105" t="s">
        <v>21</v>
      </c>
      <c r="D5" s="290" t="s">
        <v>22</v>
      </c>
      <c r="E5" s="29" t="s">
        <v>23</v>
      </c>
      <c r="F5" s="29"/>
      <c r="G5" s="29"/>
      <c r="H5" s="29" t="s">
        <v>24</v>
      </c>
      <c r="I5" s="29" t="s">
        <v>25</v>
      </c>
    </row>
    <row r="6" spans="1:9" ht="166.65" customHeight="1">
      <c r="A6" s="288" t="s">
        <v>11</v>
      </c>
      <c r="B6" s="289" t="s">
        <v>26</v>
      </c>
      <c r="C6" s="105" t="s">
        <v>27</v>
      </c>
      <c r="D6" s="290" t="s">
        <v>28</v>
      </c>
      <c r="E6" s="29"/>
      <c r="F6" s="29"/>
      <c r="G6" s="29"/>
      <c r="H6" s="29"/>
      <c r="I6" s="29"/>
    </row>
    <row r="7" spans="1:9" ht="244.8">
      <c r="A7" s="288" t="s">
        <v>11</v>
      </c>
      <c r="B7" s="289" t="s">
        <v>29</v>
      </c>
      <c r="C7" s="105" t="s">
        <v>30</v>
      </c>
      <c r="D7" s="290" t="s">
        <v>31</v>
      </c>
      <c r="E7" s="29"/>
      <c r="F7" s="29"/>
      <c r="G7" s="29" t="s">
        <v>32</v>
      </c>
      <c r="H7" s="29"/>
      <c r="I7" s="29"/>
    </row>
    <row r="8" spans="1:9" ht="72">
      <c r="A8" s="288" t="s">
        <v>11</v>
      </c>
      <c r="B8" s="289" t="s">
        <v>33</v>
      </c>
      <c r="C8" s="105" t="s">
        <v>34</v>
      </c>
      <c r="D8" s="290" t="s">
        <v>35</v>
      </c>
      <c r="E8" s="29" t="s">
        <v>36</v>
      </c>
      <c r="F8" s="29" t="s">
        <v>37</v>
      </c>
      <c r="G8" s="29" t="s">
        <v>38</v>
      </c>
      <c r="H8" s="29" t="s">
        <v>39</v>
      </c>
      <c r="I8" s="29"/>
    </row>
    <row r="9" spans="1:9" ht="130.35" customHeight="1">
      <c r="A9" s="288" t="s">
        <v>11</v>
      </c>
      <c r="B9" s="289" t="s">
        <v>40</v>
      </c>
      <c r="C9" s="105" t="s">
        <v>41</v>
      </c>
      <c r="D9" s="290" t="s">
        <v>42</v>
      </c>
      <c r="E9" s="29" t="s">
        <v>43</v>
      </c>
      <c r="F9" s="29"/>
      <c r="G9" s="29"/>
      <c r="H9" s="29"/>
      <c r="I9" s="29"/>
    </row>
    <row r="10" spans="1:9" ht="57.6">
      <c r="A10" s="288" t="s">
        <v>11</v>
      </c>
      <c r="B10" s="289" t="s">
        <v>44</v>
      </c>
      <c r="C10" s="105" t="s">
        <v>45</v>
      </c>
      <c r="D10" s="290"/>
      <c r="E10" s="29"/>
      <c r="F10" s="29"/>
      <c r="G10" s="29"/>
      <c r="H10" s="29"/>
      <c r="I10" s="29"/>
    </row>
    <row r="11" spans="1:9" ht="57.6">
      <c r="A11" s="288" t="s">
        <v>11</v>
      </c>
      <c r="B11" s="289" t="s">
        <v>46</v>
      </c>
      <c r="C11" s="105" t="s">
        <v>47</v>
      </c>
      <c r="D11" s="290"/>
      <c r="E11" s="29" t="s">
        <v>48</v>
      </c>
      <c r="F11" s="29"/>
      <c r="G11" s="29"/>
      <c r="H11" s="29"/>
      <c r="I11" s="29"/>
    </row>
    <row r="12" spans="1:9" ht="174" customHeight="1">
      <c r="A12" s="288" t="s">
        <v>49</v>
      </c>
      <c r="B12" s="289" t="s">
        <v>50</v>
      </c>
      <c r="C12" s="105" t="s">
        <v>51</v>
      </c>
      <c r="D12" s="290"/>
      <c r="E12" s="29" t="s">
        <v>48</v>
      </c>
      <c r="F12" s="29" t="s">
        <v>52</v>
      </c>
      <c r="G12" s="29"/>
      <c r="H12" s="29" t="s">
        <v>53</v>
      </c>
      <c r="I12" s="29"/>
    </row>
    <row r="13" spans="1:9" ht="129.6">
      <c r="A13" s="288" t="s">
        <v>49</v>
      </c>
      <c r="B13" s="289" t="s">
        <v>54</v>
      </c>
      <c r="C13" s="105" t="s">
        <v>55</v>
      </c>
      <c r="D13" s="290"/>
      <c r="E13" s="29" t="s">
        <v>56</v>
      </c>
      <c r="F13" s="29" t="s">
        <v>57</v>
      </c>
      <c r="G13" s="29"/>
      <c r="H13" s="29" t="s">
        <v>58</v>
      </c>
      <c r="I13" s="29"/>
    </row>
    <row r="14" spans="1:9" ht="86.4">
      <c r="A14" s="288" t="s">
        <v>49</v>
      </c>
      <c r="B14" s="289" t="s">
        <v>59</v>
      </c>
      <c r="C14" s="105" t="s">
        <v>60</v>
      </c>
      <c r="D14" s="290"/>
      <c r="E14" s="29"/>
      <c r="F14" s="29" t="s">
        <v>61</v>
      </c>
      <c r="G14" s="29"/>
      <c r="H14" s="29" t="s">
        <v>62</v>
      </c>
      <c r="I14" s="29"/>
    </row>
    <row r="15" spans="1:9" ht="86.4">
      <c r="A15" s="288" t="s">
        <v>63</v>
      </c>
      <c r="B15" s="289" t="s">
        <v>64</v>
      </c>
      <c r="C15" s="105" t="s">
        <v>65</v>
      </c>
      <c r="D15" s="290" t="s">
        <v>66</v>
      </c>
      <c r="E15" s="29" t="s">
        <v>67</v>
      </c>
      <c r="F15" s="29" t="s">
        <v>68</v>
      </c>
      <c r="G15" s="29"/>
      <c r="H15" s="29" t="s">
        <v>69</v>
      </c>
      <c r="I15" s="29"/>
    </row>
    <row r="16" spans="1:9" ht="147.6" customHeight="1">
      <c r="A16" s="288" t="s">
        <v>63</v>
      </c>
      <c r="B16" s="289" t="s">
        <v>70</v>
      </c>
      <c r="C16" s="105" t="s">
        <v>71</v>
      </c>
      <c r="D16" s="290" t="s">
        <v>72</v>
      </c>
      <c r="E16" s="29" t="s">
        <v>73</v>
      </c>
      <c r="F16" s="29"/>
      <c r="G16" s="29"/>
      <c r="H16" s="29" t="s">
        <v>74</v>
      </c>
      <c r="I16" s="29"/>
    </row>
    <row r="17" spans="1:9" ht="100.8">
      <c r="A17" s="288" t="s">
        <v>63</v>
      </c>
      <c r="B17" s="289" t="s">
        <v>75</v>
      </c>
      <c r="C17" s="105" t="s">
        <v>76</v>
      </c>
      <c r="D17" s="290" t="s">
        <v>77</v>
      </c>
      <c r="E17" s="29" t="s">
        <v>78</v>
      </c>
      <c r="F17" s="29"/>
      <c r="G17" s="29"/>
      <c r="H17" s="29"/>
      <c r="I17" s="29"/>
    </row>
    <row r="18" spans="1:9" ht="179.4" customHeight="1">
      <c r="A18" s="288" t="s">
        <v>63</v>
      </c>
      <c r="B18" s="289" t="s">
        <v>79</v>
      </c>
      <c r="C18" s="105" t="s">
        <v>80</v>
      </c>
      <c r="D18" s="290"/>
      <c r="E18" s="29"/>
      <c r="F18" s="29"/>
      <c r="G18" s="29"/>
      <c r="H18" s="29" t="s">
        <v>81</v>
      </c>
      <c r="I18" s="29"/>
    </row>
    <row r="19" spans="1:9" ht="57.6">
      <c r="A19" s="288" t="s">
        <v>63</v>
      </c>
      <c r="B19" s="289" t="s">
        <v>82</v>
      </c>
      <c r="C19" s="105" t="s">
        <v>83</v>
      </c>
      <c r="D19" s="290"/>
      <c r="E19" s="29" t="s">
        <v>84</v>
      </c>
      <c r="F19" s="29"/>
      <c r="G19" s="29"/>
      <c r="H19" s="29"/>
      <c r="I19" s="29"/>
    </row>
    <row r="20" spans="1:9" ht="57.6">
      <c r="A20" s="288" t="s">
        <v>85</v>
      </c>
      <c r="B20" s="289" t="s">
        <v>86</v>
      </c>
      <c r="C20" s="105" t="s">
        <v>87</v>
      </c>
      <c r="D20" s="290"/>
      <c r="E20" s="29" t="s">
        <v>88</v>
      </c>
      <c r="F20" s="29" t="s">
        <v>89</v>
      </c>
      <c r="G20" s="29"/>
      <c r="H20" s="29"/>
      <c r="I20" s="29"/>
    </row>
    <row r="21" spans="1:9" ht="43.2">
      <c r="A21" s="288" t="s">
        <v>90</v>
      </c>
      <c r="B21" s="289" t="s">
        <v>91</v>
      </c>
      <c r="C21" s="105" t="s">
        <v>92</v>
      </c>
      <c r="D21" s="290"/>
      <c r="E21" s="29" t="s">
        <v>93</v>
      </c>
      <c r="F21" s="29"/>
      <c r="G21" s="29"/>
      <c r="H21" s="29"/>
      <c r="I21" s="29"/>
    </row>
    <row r="22" spans="1:9" ht="100.8">
      <c r="A22" s="288" t="s">
        <v>85</v>
      </c>
      <c r="B22" s="289" t="s">
        <v>94</v>
      </c>
      <c r="C22" s="105" t="s">
        <v>95</v>
      </c>
      <c r="D22" s="290"/>
      <c r="E22" s="29"/>
      <c r="F22" s="29"/>
      <c r="G22" s="29"/>
      <c r="H22" s="29"/>
      <c r="I22" s="29"/>
    </row>
    <row r="23" spans="1:9" ht="72">
      <c r="A23" s="288" t="s">
        <v>90</v>
      </c>
      <c r="B23" s="289" t="s">
        <v>96</v>
      </c>
      <c r="C23" s="105" t="s">
        <v>97</v>
      </c>
      <c r="D23" s="290"/>
      <c r="E23" s="29" t="s">
        <v>98</v>
      </c>
      <c r="F23" s="29"/>
      <c r="G23" s="29"/>
      <c r="H23" s="29"/>
      <c r="I23" s="29"/>
    </row>
    <row r="24" spans="1:9" ht="72">
      <c r="A24" s="288" t="s">
        <v>99</v>
      </c>
      <c r="B24" s="289" t="s">
        <v>100</v>
      </c>
      <c r="C24" s="105" t="s">
        <v>101</v>
      </c>
      <c r="D24" s="290"/>
      <c r="E24" s="29" t="s">
        <v>102</v>
      </c>
      <c r="F24" s="29" t="s">
        <v>103</v>
      </c>
      <c r="G24" s="29"/>
      <c r="H24" s="29" t="s">
        <v>104</v>
      </c>
      <c r="I24" s="29"/>
    </row>
    <row r="25" spans="1:9" ht="57.6">
      <c r="A25" s="288" t="s">
        <v>99</v>
      </c>
      <c r="B25" s="289" t="s">
        <v>105</v>
      </c>
      <c r="C25" s="105" t="s">
        <v>106</v>
      </c>
      <c r="D25" s="290"/>
      <c r="E25" s="29" t="s">
        <v>107</v>
      </c>
      <c r="F25" s="29" t="s">
        <v>108</v>
      </c>
      <c r="G25" s="29"/>
      <c r="H25" s="29" t="s">
        <v>109</v>
      </c>
      <c r="I25" s="29"/>
    </row>
    <row r="26" spans="1:9" ht="72">
      <c r="A26" s="288" t="s">
        <v>99</v>
      </c>
      <c r="B26" s="289" t="s">
        <v>110</v>
      </c>
      <c r="C26" s="105" t="s">
        <v>111</v>
      </c>
      <c r="D26" s="290"/>
      <c r="E26" s="29"/>
      <c r="F26" s="29" t="s">
        <v>112</v>
      </c>
      <c r="G26" s="29"/>
      <c r="H26" s="29"/>
      <c r="I26" s="29"/>
    </row>
    <row r="27" spans="1:9" ht="57.6">
      <c r="A27" s="288" t="s">
        <v>99</v>
      </c>
      <c r="B27" s="289" t="s">
        <v>113</v>
      </c>
      <c r="C27" s="105" t="s">
        <v>114</v>
      </c>
      <c r="D27" s="290"/>
      <c r="E27" s="29"/>
      <c r="F27" s="40" t="s">
        <v>115</v>
      </c>
      <c r="G27" s="29"/>
      <c r="H27" s="29"/>
      <c r="I27" s="29"/>
    </row>
    <row r="28" spans="1:9" ht="100.8">
      <c r="A28" s="288" t="s">
        <v>99</v>
      </c>
      <c r="B28" s="289" t="s">
        <v>116</v>
      </c>
      <c r="C28" s="105" t="s">
        <v>117</v>
      </c>
      <c r="D28" s="290"/>
      <c r="E28" s="29"/>
      <c r="F28" s="29" t="s">
        <v>118</v>
      </c>
      <c r="G28" s="29"/>
      <c r="H28" s="29"/>
      <c r="I28" s="29"/>
    </row>
    <row r="29" spans="1:9" ht="72">
      <c r="A29" s="288" t="s">
        <v>99</v>
      </c>
      <c r="B29" s="289" t="s">
        <v>119</v>
      </c>
      <c r="C29" s="105" t="s">
        <v>120</v>
      </c>
      <c r="D29" s="290"/>
      <c r="E29" s="29" t="s">
        <v>121</v>
      </c>
      <c r="F29" s="29" t="s">
        <v>122</v>
      </c>
      <c r="G29" s="29"/>
      <c r="H29" s="29"/>
      <c r="I29" s="29"/>
    </row>
    <row r="30" spans="1:9" ht="72">
      <c r="A30" s="288" t="s">
        <v>99</v>
      </c>
      <c r="B30" s="289" t="s">
        <v>123</v>
      </c>
      <c r="C30" s="105" t="s">
        <v>124</v>
      </c>
      <c r="D30" s="290"/>
      <c r="E30" s="29"/>
      <c r="F30" s="29" t="s">
        <v>125</v>
      </c>
      <c r="G30" s="29"/>
      <c r="H30" s="29"/>
      <c r="I30" s="29"/>
    </row>
    <row r="31" spans="1:9" ht="43.2">
      <c r="A31" s="288" t="s">
        <v>126</v>
      </c>
      <c r="B31" s="289" t="s">
        <v>127</v>
      </c>
      <c r="C31" s="105" t="s">
        <v>128</v>
      </c>
      <c r="D31" s="290"/>
      <c r="E31" s="29"/>
      <c r="F31" s="29"/>
      <c r="G31" s="29"/>
      <c r="H31" s="29"/>
      <c r="I31" s="29"/>
    </row>
    <row r="32" spans="1:9" ht="100.8">
      <c r="A32" s="288" t="s">
        <v>129</v>
      </c>
      <c r="B32" s="289" t="s">
        <v>130</v>
      </c>
      <c r="C32" s="105" t="s">
        <v>131</v>
      </c>
      <c r="D32" s="290"/>
      <c r="E32" s="29"/>
      <c r="F32" s="29" t="s">
        <v>132</v>
      </c>
      <c r="G32" s="29"/>
      <c r="H32" s="29"/>
      <c r="I32" s="29"/>
    </row>
    <row r="33" spans="1:9" ht="144">
      <c r="A33" s="288" t="s">
        <v>129</v>
      </c>
      <c r="B33" s="289" t="s">
        <v>133</v>
      </c>
      <c r="C33" s="105" t="s">
        <v>134</v>
      </c>
      <c r="D33" s="290" t="s">
        <v>135</v>
      </c>
      <c r="E33" s="29" t="s">
        <v>136</v>
      </c>
      <c r="F33" s="29"/>
      <c r="G33" s="29"/>
      <c r="H33" s="29"/>
      <c r="I33" s="29"/>
    </row>
    <row r="34" spans="1:9" ht="187.2">
      <c r="A34" s="288" t="s">
        <v>129</v>
      </c>
      <c r="B34" s="289" t="s">
        <v>137</v>
      </c>
      <c r="C34" s="105" t="s">
        <v>138</v>
      </c>
      <c r="D34" s="290" t="s">
        <v>139</v>
      </c>
      <c r="E34" s="29"/>
      <c r="F34" s="29"/>
      <c r="G34" s="29"/>
      <c r="H34" s="29"/>
      <c r="I34" s="29"/>
    </row>
    <row r="35" spans="1:9" ht="57.6">
      <c r="A35" s="288" t="s">
        <v>129</v>
      </c>
      <c r="B35" s="289" t="s">
        <v>140</v>
      </c>
      <c r="C35" s="105" t="s">
        <v>141</v>
      </c>
      <c r="D35" s="290" t="s">
        <v>142</v>
      </c>
      <c r="E35" s="29"/>
      <c r="F35" s="29" t="s">
        <v>143</v>
      </c>
      <c r="G35" s="29"/>
      <c r="H35" s="29"/>
      <c r="I35" s="29"/>
    </row>
    <row r="36" spans="1:9" ht="144">
      <c r="A36" s="288" t="s">
        <v>129</v>
      </c>
      <c r="B36" s="289" t="s">
        <v>144</v>
      </c>
      <c r="C36" s="105" t="s">
        <v>145</v>
      </c>
      <c r="D36" s="290" t="s">
        <v>146</v>
      </c>
      <c r="E36" s="29"/>
      <c r="F36" s="29" t="s">
        <v>147</v>
      </c>
      <c r="G36" s="29"/>
      <c r="H36" s="29"/>
      <c r="I36" s="29"/>
    </row>
    <row r="37" spans="1:9" ht="187.2">
      <c r="A37" s="288" t="s">
        <v>129</v>
      </c>
      <c r="B37" s="289" t="s">
        <v>148</v>
      </c>
      <c r="C37" s="105" t="s">
        <v>149</v>
      </c>
      <c r="D37" s="290" t="s">
        <v>150</v>
      </c>
      <c r="E37" s="29"/>
      <c r="F37" s="29"/>
      <c r="G37" s="29"/>
      <c r="H37" s="29"/>
      <c r="I37" s="29"/>
    </row>
    <row r="38" spans="1:9" ht="72">
      <c r="A38" s="288" t="s">
        <v>129</v>
      </c>
      <c r="B38" s="289" t="s">
        <v>151</v>
      </c>
      <c r="C38" s="105" t="s">
        <v>152</v>
      </c>
      <c r="D38" s="290" t="s">
        <v>153</v>
      </c>
      <c r="E38" s="29"/>
      <c r="F38" s="29" t="s">
        <v>154</v>
      </c>
      <c r="G38" s="29"/>
      <c r="H38" s="29"/>
      <c r="I38" s="29"/>
    </row>
    <row r="39" spans="1:9" ht="100.8">
      <c r="A39" s="288" t="s">
        <v>129</v>
      </c>
      <c r="B39" s="289" t="s">
        <v>155</v>
      </c>
      <c r="C39" s="105" t="s">
        <v>156</v>
      </c>
      <c r="D39" s="290" t="s">
        <v>157</v>
      </c>
      <c r="E39" s="29"/>
      <c r="F39" s="29" t="s">
        <v>158</v>
      </c>
      <c r="G39" s="29"/>
      <c r="H39" s="29"/>
      <c r="I39" s="29"/>
    </row>
    <row r="40" spans="1:9" ht="72">
      <c r="A40" s="288" t="s">
        <v>159</v>
      </c>
      <c r="B40" s="289" t="s">
        <v>160</v>
      </c>
      <c r="C40" s="105" t="s">
        <v>161</v>
      </c>
      <c r="D40" s="290"/>
      <c r="E40" s="29"/>
      <c r="F40" s="29" t="s">
        <v>162</v>
      </c>
      <c r="G40" s="29"/>
      <c r="H40" s="29"/>
      <c r="I40" s="29"/>
    </row>
    <row r="41" spans="1:9" ht="28.8">
      <c r="A41" s="288" t="s">
        <v>163</v>
      </c>
      <c r="B41" s="289" t="s">
        <v>164</v>
      </c>
      <c r="C41" s="105" t="s">
        <v>165</v>
      </c>
      <c r="D41" s="290"/>
      <c r="E41" s="29"/>
      <c r="F41" s="29"/>
      <c r="G41" s="29"/>
      <c r="H41" s="29"/>
      <c r="I41" s="29"/>
    </row>
    <row r="42" spans="1:9" ht="43.2">
      <c r="A42" s="288" t="s">
        <v>163</v>
      </c>
      <c r="B42" s="289" t="s">
        <v>166</v>
      </c>
      <c r="C42" s="105" t="s">
        <v>167</v>
      </c>
      <c r="D42" s="290"/>
      <c r="E42" s="29"/>
      <c r="F42" s="29"/>
      <c r="G42" s="29"/>
      <c r="H42" s="29"/>
      <c r="I42" s="29"/>
    </row>
    <row r="43" spans="1:9" ht="72">
      <c r="A43" s="288" t="s">
        <v>163</v>
      </c>
      <c r="B43" s="289" t="s">
        <v>168</v>
      </c>
      <c r="C43" s="105" t="s">
        <v>169</v>
      </c>
      <c r="D43" s="290" t="s">
        <v>170</v>
      </c>
      <c r="E43" s="29"/>
      <c r="F43" s="29"/>
      <c r="G43" s="29"/>
      <c r="H43" s="29"/>
      <c r="I43" s="29"/>
    </row>
    <row r="44" spans="1:9" ht="57.6">
      <c r="A44" s="288" t="s">
        <v>171</v>
      </c>
      <c r="B44" s="289" t="s">
        <v>172</v>
      </c>
      <c r="C44" s="105" t="s">
        <v>173</v>
      </c>
      <c r="D44" s="290" t="s">
        <v>174</v>
      </c>
      <c r="E44" s="29"/>
      <c r="F44" s="29"/>
      <c r="G44" s="29"/>
      <c r="H44" s="29"/>
      <c r="I44" s="29"/>
    </row>
    <row r="45" spans="1:9" ht="115.2">
      <c r="A45" s="288" t="s">
        <v>171</v>
      </c>
      <c r="B45" s="289" t="s">
        <v>175</v>
      </c>
      <c r="C45" s="105" t="s">
        <v>176</v>
      </c>
      <c r="D45" s="290" t="s">
        <v>177</v>
      </c>
      <c r="E45" s="29"/>
      <c r="F45" s="29"/>
      <c r="G45" s="29" t="s">
        <v>178</v>
      </c>
      <c r="H45" s="29"/>
      <c r="I45" s="29"/>
    </row>
    <row r="46" spans="1:9" ht="57.6">
      <c r="A46" s="288" t="s">
        <v>171</v>
      </c>
      <c r="B46" s="289" t="s">
        <v>179</v>
      </c>
      <c r="C46" s="105" t="s">
        <v>180</v>
      </c>
      <c r="D46" s="290" t="s">
        <v>177</v>
      </c>
      <c r="E46" s="29"/>
      <c r="F46" s="29"/>
      <c r="G46" s="29"/>
      <c r="H46" s="29"/>
      <c r="I46" s="29"/>
    </row>
    <row r="47" spans="1:9" ht="158.4">
      <c r="A47" s="288" t="s">
        <v>171</v>
      </c>
      <c r="B47" s="289" t="s">
        <v>181</v>
      </c>
      <c r="C47" s="105" t="s">
        <v>182</v>
      </c>
      <c r="D47" s="290" t="s">
        <v>183</v>
      </c>
      <c r="E47" s="29"/>
      <c r="F47" s="29"/>
      <c r="G47" s="29"/>
      <c r="H47" s="29" t="s">
        <v>184</v>
      </c>
      <c r="I47" s="29"/>
    </row>
    <row r="48" spans="1:9" ht="115.2">
      <c r="A48" s="288" t="s">
        <v>185</v>
      </c>
      <c r="B48" s="289" t="s">
        <v>186</v>
      </c>
      <c r="C48" s="105" t="s">
        <v>187</v>
      </c>
      <c r="D48" s="290"/>
      <c r="E48" s="29"/>
      <c r="F48" s="29"/>
      <c r="G48" s="29"/>
      <c r="H48" s="29" t="s">
        <v>188</v>
      </c>
      <c r="I48" s="29"/>
    </row>
    <row r="49" spans="1:9" ht="72.599999999999994" thickBot="1">
      <c r="A49" s="291" t="s">
        <v>186</v>
      </c>
      <c r="B49" s="292" t="s">
        <v>189</v>
      </c>
      <c r="C49" s="136" t="s">
        <v>190</v>
      </c>
      <c r="D49" s="290"/>
      <c r="E49" s="29" t="s">
        <v>191</v>
      </c>
      <c r="F49" s="29"/>
      <c r="G49" s="29"/>
      <c r="H49" s="29"/>
      <c r="I49" s="29"/>
    </row>
  </sheetData>
  <autoFilter ref="A2:I49" xr:uid="{0017F68A-320C-4462-96F8-6C17FA0147D1}"/>
  <mergeCells count="2">
    <mergeCell ref="A1:C1"/>
    <mergeCell ref="D1:I1"/>
  </mergeCells>
  <pageMargins left="0.7" right="0.7" top="0.75" bottom="0.75" header="0.3" footer="0.3"/>
  <pageSetup paperSize="9" orientation="portrait" horizontalDpi="0"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E404B-FDB7-4EF3-B6C3-9456283CE440}">
  <sheetPr>
    <outlinePr summaryRight="0"/>
  </sheetPr>
  <dimension ref="A15:CM199"/>
  <sheetViews>
    <sheetView zoomScale="61" zoomScaleNormal="100" workbookViewId="0">
      <selection activeCell="E29" sqref="E29"/>
    </sheetView>
  </sheetViews>
  <sheetFormatPr defaultColWidth="8.88671875" defaultRowHeight="13.65" customHeight="1" outlineLevelRow="1"/>
  <cols>
    <col min="1" max="1" width="34.5546875" style="92" bestFit="1" customWidth="1"/>
    <col min="2" max="2" width="43.88671875" style="1" customWidth="1"/>
    <col min="3" max="3" width="49.109375" style="1" customWidth="1"/>
    <col min="4" max="4" width="21.44140625" style="1" customWidth="1"/>
    <col min="5" max="5" width="56.5546875" style="1" bestFit="1" customWidth="1"/>
    <col min="6" max="6" width="33.88671875" style="1" customWidth="1"/>
    <col min="7" max="7" width="24.88671875" style="1" customWidth="1"/>
    <col min="8" max="8" width="9" style="1" customWidth="1"/>
    <col min="9" max="13" width="8.88671875" style="1"/>
    <col min="14" max="14" width="15.5546875" style="1" customWidth="1"/>
    <col min="15" max="15" width="13.88671875" style="1" customWidth="1"/>
    <col min="16" max="16" width="8.88671875" style="302" customWidth="1"/>
    <col min="17" max="28" width="8.88671875" style="1"/>
    <col min="29" max="91" width="8.88671875" style="147"/>
    <col min="92" max="16384" width="8.88671875" style="1"/>
  </cols>
  <sheetData>
    <row r="15" spans="1:16" ht="13.65" customHeight="1">
      <c r="A15" s="261"/>
      <c r="B15" s="254"/>
      <c r="C15" s="254"/>
      <c r="D15" s="254"/>
      <c r="E15" s="254"/>
      <c r="F15" s="254"/>
      <c r="G15" s="255"/>
      <c r="H15" s="312" t="s">
        <v>192</v>
      </c>
      <c r="I15" s="312"/>
      <c r="J15" s="312"/>
      <c r="K15" s="312"/>
      <c r="L15" s="312"/>
      <c r="M15" s="312"/>
      <c r="N15" s="312"/>
      <c r="O15" s="263" t="s">
        <v>193</v>
      </c>
    </row>
    <row r="16" spans="1:16" ht="13.65" customHeight="1">
      <c r="A16" s="253" t="s">
        <v>194</v>
      </c>
      <c r="B16" s="253" t="s">
        <v>195</v>
      </c>
      <c r="C16" s="253" t="s">
        <v>196</v>
      </c>
      <c r="D16" s="253" t="s">
        <v>197</v>
      </c>
      <c r="E16" s="253" t="s">
        <v>198</v>
      </c>
      <c r="F16" s="264" t="s">
        <v>199</v>
      </c>
      <c r="G16" s="265" t="s">
        <v>200</v>
      </c>
      <c r="H16" s="266" t="s">
        <v>201</v>
      </c>
      <c r="I16" s="266" t="s">
        <v>202</v>
      </c>
      <c r="J16" s="266" t="s">
        <v>203</v>
      </c>
      <c r="K16" s="266" t="s">
        <v>204</v>
      </c>
      <c r="L16" s="266" t="s">
        <v>205</v>
      </c>
      <c r="M16" s="266" t="s">
        <v>206</v>
      </c>
      <c r="N16" s="266" t="s">
        <v>207</v>
      </c>
      <c r="O16" s="267" t="s">
        <v>193</v>
      </c>
      <c r="P16" s="303" t="s">
        <v>208</v>
      </c>
    </row>
    <row r="17" spans="1:15" ht="13.65" customHeight="1">
      <c r="A17" s="262" t="s">
        <v>209</v>
      </c>
      <c r="B17" s="297" t="s">
        <v>210</v>
      </c>
      <c r="C17" s="256"/>
      <c r="D17" s="256" t="s">
        <v>49</v>
      </c>
      <c r="E17" s="63" t="s">
        <v>211</v>
      </c>
      <c r="F17" s="268" t="s">
        <v>212</v>
      </c>
      <c r="G17" s="269" t="s">
        <v>213</v>
      </c>
      <c r="H17" s="195"/>
      <c r="I17" s="195"/>
      <c r="J17" s="195"/>
      <c r="K17" s="195"/>
      <c r="L17" s="195"/>
      <c r="M17" s="195"/>
      <c r="N17" s="195"/>
      <c r="O17" s="195"/>
    </row>
    <row r="18" spans="1:15" ht="13.65" customHeight="1">
      <c r="A18" s="262" t="s">
        <v>209</v>
      </c>
      <c r="B18" s="297" t="s">
        <v>210</v>
      </c>
      <c r="C18" s="256"/>
      <c r="D18" s="256" t="s">
        <v>49</v>
      </c>
      <c r="E18" s="63" t="s">
        <v>214</v>
      </c>
      <c r="F18" s="268" t="s">
        <v>215</v>
      </c>
      <c r="G18" s="269" t="s">
        <v>213</v>
      </c>
      <c r="H18" s="195"/>
      <c r="I18" s="195"/>
      <c r="J18" s="195"/>
      <c r="K18" s="195"/>
      <c r="L18" s="195"/>
      <c r="M18" s="195"/>
      <c r="N18" s="195"/>
      <c r="O18" s="195"/>
    </row>
    <row r="19" spans="1:15" ht="13.65" customHeight="1">
      <c r="A19" s="262" t="s">
        <v>209</v>
      </c>
      <c r="B19" s="297" t="s">
        <v>210</v>
      </c>
      <c r="C19" s="256"/>
      <c r="D19" s="256" t="s">
        <v>49</v>
      </c>
      <c r="E19" s="63" t="s">
        <v>216</v>
      </c>
      <c r="F19" s="268" t="s">
        <v>212</v>
      </c>
      <c r="G19" s="269" t="s">
        <v>217</v>
      </c>
      <c r="H19" s="195"/>
      <c r="I19" s="195"/>
      <c r="J19" s="195"/>
      <c r="K19" s="195"/>
      <c r="L19" s="195"/>
      <c r="M19" s="195"/>
      <c r="N19" s="195"/>
      <c r="O19" s="195"/>
    </row>
    <row r="20" spans="1:15" ht="13.65" customHeight="1">
      <c r="A20" s="262" t="s">
        <v>209</v>
      </c>
      <c r="B20" s="297" t="s">
        <v>210</v>
      </c>
      <c r="C20" s="256"/>
      <c r="D20" s="256" t="s">
        <v>49</v>
      </c>
      <c r="E20" s="63" t="s">
        <v>218</v>
      </c>
      <c r="F20" s="268" t="s">
        <v>219</v>
      </c>
      <c r="G20" s="269" t="s">
        <v>220</v>
      </c>
      <c r="H20" s="195"/>
      <c r="I20" s="195"/>
      <c r="J20" s="195"/>
      <c r="K20" s="195"/>
      <c r="L20" s="195"/>
      <c r="M20" s="195"/>
      <c r="N20" s="195"/>
      <c r="O20" s="195"/>
    </row>
    <row r="21" spans="1:15" ht="13.65" customHeight="1">
      <c r="A21" s="262" t="s">
        <v>209</v>
      </c>
      <c r="B21" s="297" t="s">
        <v>210</v>
      </c>
      <c r="C21" s="256"/>
      <c r="D21" s="256" t="s">
        <v>49</v>
      </c>
      <c r="E21" s="63" t="s">
        <v>221</v>
      </c>
      <c r="F21" s="268" t="s">
        <v>215</v>
      </c>
      <c r="G21" s="269" t="s">
        <v>217</v>
      </c>
      <c r="H21" s="195"/>
      <c r="I21" s="195"/>
      <c r="J21" s="195"/>
      <c r="K21" s="195"/>
      <c r="L21" s="195"/>
      <c r="M21" s="195"/>
      <c r="N21" s="195"/>
      <c r="O21" s="195"/>
    </row>
    <row r="22" spans="1:15" ht="13.65" customHeight="1">
      <c r="A22" s="262" t="s">
        <v>209</v>
      </c>
      <c r="B22" s="297" t="s">
        <v>210</v>
      </c>
      <c r="C22" s="256"/>
      <c r="D22" s="256" t="s">
        <v>49</v>
      </c>
      <c r="E22" s="63" t="s">
        <v>222</v>
      </c>
      <c r="F22" s="268" t="s">
        <v>215</v>
      </c>
      <c r="G22" s="269" t="s">
        <v>217</v>
      </c>
      <c r="H22" s="195"/>
      <c r="I22" s="195"/>
      <c r="J22" s="195"/>
      <c r="K22" s="195"/>
      <c r="L22" s="195"/>
      <c r="M22" s="195"/>
      <c r="N22" s="195"/>
      <c r="O22" s="195"/>
    </row>
    <row r="23" spans="1:15" ht="13.65" customHeight="1">
      <c r="A23" s="262" t="s">
        <v>209</v>
      </c>
      <c r="B23" s="297" t="s">
        <v>210</v>
      </c>
      <c r="C23" s="256"/>
      <c r="D23" s="256" t="s">
        <v>49</v>
      </c>
      <c r="E23" s="63" t="s">
        <v>223</v>
      </c>
      <c r="F23" s="268" t="s">
        <v>215</v>
      </c>
      <c r="G23" s="269" t="s">
        <v>217</v>
      </c>
      <c r="H23" s="195"/>
      <c r="I23" s="195"/>
      <c r="J23" s="195"/>
      <c r="K23" s="195"/>
      <c r="L23" s="195"/>
      <c r="M23" s="195"/>
      <c r="N23" s="195"/>
      <c r="O23" s="195"/>
    </row>
    <row r="24" spans="1:15" ht="13.65" customHeight="1">
      <c r="A24" s="262" t="s">
        <v>209</v>
      </c>
      <c r="B24" s="297" t="s">
        <v>210</v>
      </c>
      <c r="C24" s="256"/>
      <c r="D24" s="256" t="s">
        <v>49</v>
      </c>
      <c r="E24" s="63" t="s">
        <v>224</v>
      </c>
      <c r="F24" s="268" t="s">
        <v>225</v>
      </c>
      <c r="G24" s="269" t="s">
        <v>217</v>
      </c>
      <c r="H24" s="195"/>
      <c r="I24" s="195"/>
      <c r="J24" s="195"/>
      <c r="K24" s="195"/>
      <c r="L24" s="195"/>
      <c r="M24" s="195"/>
      <c r="N24" s="195"/>
      <c r="O24" s="195"/>
    </row>
    <row r="25" spans="1:15" ht="13.65" customHeight="1">
      <c r="A25" s="262" t="s">
        <v>209</v>
      </c>
      <c r="B25" s="297" t="s">
        <v>210</v>
      </c>
      <c r="C25" s="256"/>
      <c r="D25" s="256" t="s">
        <v>49</v>
      </c>
      <c r="E25" s="63" t="s">
        <v>226</v>
      </c>
      <c r="F25" s="268" t="s">
        <v>215</v>
      </c>
      <c r="G25" s="269" t="s">
        <v>217</v>
      </c>
      <c r="H25" s="195"/>
      <c r="I25" s="195"/>
      <c r="J25" s="195"/>
      <c r="K25" s="195"/>
      <c r="L25" s="195"/>
      <c r="M25" s="195"/>
      <c r="N25" s="195"/>
      <c r="O25" s="195"/>
    </row>
    <row r="26" spans="1:15" ht="13.65" customHeight="1">
      <c r="A26" s="262" t="s">
        <v>209</v>
      </c>
      <c r="B26" s="297" t="s">
        <v>227</v>
      </c>
      <c r="C26" s="256"/>
      <c r="D26" s="256" t="s">
        <v>228</v>
      </c>
      <c r="E26" s="63" t="s">
        <v>229</v>
      </c>
      <c r="F26" s="268" t="s">
        <v>212</v>
      </c>
      <c r="G26" s="269" t="s">
        <v>213</v>
      </c>
      <c r="H26" s="195"/>
      <c r="I26" s="195"/>
      <c r="J26" s="195"/>
      <c r="K26" s="195"/>
      <c r="L26" s="195"/>
      <c r="M26" s="195"/>
      <c r="N26" s="195"/>
      <c r="O26" s="195"/>
    </row>
    <row r="27" spans="1:15" ht="13.65" customHeight="1" outlineLevel="1">
      <c r="A27" s="262" t="s">
        <v>209</v>
      </c>
      <c r="B27" s="297" t="s">
        <v>227</v>
      </c>
      <c r="C27" s="256"/>
      <c r="D27" s="256" t="s">
        <v>228</v>
      </c>
      <c r="E27" s="63" t="s">
        <v>230</v>
      </c>
      <c r="F27" s="268" t="s">
        <v>220</v>
      </c>
      <c r="G27" s="269" t="s">
        <v>213</v>
      </c>
      <c r="H27" s="195"/>
      <c r="I27" s="195"/>
      <c r="J27" s="195"/>
      <c r="K27" s="195"/>
      <c r="L27" s="195"/>
      <c r="M27" s="195"/>
      <c r="N27" s="195"/>
      <c r="O27" s="195"/>
    </row>
    <row r="28" spans="1:15" ht="13.65" customHeight="1" outlineLevel="1">
      <c r="A28" s="262" t="s">
        <v>209</v>
      </c>
      <c r="B28" s="297" t="s">
        <v>227</v>
      </c>
      <c r="C28" s="256"/>
      <c r="D28" s="256" t="s">
        <v>228</v>
      </c>
      <c r="E28" s="63" t="s">
        <v>231</v>
      </c>
      <c r="F28" s="268" t="s">
        <v>225</v>
      </c>
      <c r="G28" s="269" t="s">
        <v>220</v>
      </c>
      <c r="H28" s="195"/>
      <c r="I28" s="195"/>
      <c r="J28" s="195"/>
      <c r="K28" s="195"/>
      <c r="L28" s="195"/>
      <c r="M28" s="195"/>
      <c r="N28" s="195"/>
      <c r="O28" s="195"/>
    </row>
    <row r="29" spans="1:15" ht="13.65" customHeight="1" outlineLevel="1">
      <c r="A29" s="262" t="s">
        <v>209</v>
      </c>
      <c r="B29" s="297" t="s">
        <v>227</v>
      </c>
      <c r="C29" s="256"/>
      <c r="D29" s="256" t="s">
        <v>228</v>
      </c>
      <c r="E29" s="63" t="s">
        <v>232</v>
      </c>
      <c r="F29" s="268" t="s">
        <v>220</v>
      </c>
      <c r="G29" s="269" t="s">
        <v>213</v>
      </c>
      <c r="H29" s="195"/>
      <c r="I29" s="195"/>
      <c r="J29" s="195"/>
      <c r="K29" s="195"/>
      <c r="L29" s="195"/>
      <c r="M29" s="195"/>
      <c r="N29" s="195"/>
      <c r="O29" s="195"/>
    </row>
    <row r="30" spans="1:15" ht="13.65" customHeight="1" outlineLevel="1">
      <c r="A30" s="262" t="s">
        <v>209</v>
      </c>
      <c r="B30" s="297" t="s">
        <v>227</v>
      </c>
      <c r="C30" s="256"/>
      <c r="D30" s="256" t="s">
        <v>228</v>
      </c>
      <c r="E30" s="63" t="s">
        <v>233</v>
      </c>
      <c r="F30" s="268" t="s">
        <v>220</v>
      </c>
      <c r="G30" s="269" t="s">
        <v>217</v>
      </c>
      <c r="H30" s="195"/>
      <c r="I30" s="195"/>
      <c r="J30" s="195"/>
      <c r="K30" s="195"/>
      <c r="L30" s="195"/>
      <c r="M30" s="195"/>
      <c r="N30" s="195"/>
      <c r="O30" s="195"/>
    </row>
    <row r="31" spans="1:15" ht="13.65" customHeight="1" outlineLevel="1">
      <c r="A31" s="262" t="s">
        <v>209</v>
      </c>
      <c r="B31" s="297" t="s">
        <v>227</v>
      </c>
      <c r="C31" s="256"/>
      <c r="D31" s="256" t="s">
        <v>228</v>
      </c>
      <c r="E31" s="63" t="s">
        <v>234</v>
      </c>
      <c r="F31" s="268" t="s">
        <v>220</v>
      </c>
      <c r="G31" s="269" t="s">
        <v>213</v>
      </c>
      <c r="H31" s="195"/>
      <c r="I31" s="195"/>
      <c r="J31" s="195"/>
      <c r="K31" s="195"/>
      <c r="L31" s="195"/>
      <c r="M31" s="195"/>
      <c r="N31" s="195"/>
      <c r="O31" s="195"/>
    </row>
    <row r="32" spans="1:15" ht="13.65" customHeight="1" outlineLevel="1">
      <c r="A32" s="262" t="s">
        <v>209</v>
      </c>
      <c r="B32" s="297" t="s">
        <v>227</v>
      </c>
      <c r="C32" s="256"/>
      <c r="D32" s="256" t="s">
        <v>228</v>
      </c>
      <c r="E32" s="63" t="s">
        <v>235</v>
      </c>
      <c r="F32" s="268" t="s">
        <v>220</v>
      </c>
      <c r="G32" s="269" t="s">
        <v>213</v>
      </c>
      <c r="H32" s="195"/>
      <c r="I32" s="195"/>
      <c r="J32" s="195"/>
      <c r="K32" s="195"/>
      <c r="L32" s="195"/>
      <c r="M32" s="195"/>
      <c r="N32" s="195"/>
      <c r="O32" s="195"/>
    </row>
    <row r="33" spans="1:15" ht="13.65" customHeight="1" outlineLevel="1">
      <c r="A33" s="262" t="s">
        <v>209</v>
      </c>
      <c r="B33" s="297" t="s">
        <v>227</v>
      </c>
      <c r="C33" s="256"/>
      <c r="D33" s="256" t="s">
        <v>228</v>
      </c>
      <c r="E33" s="63" t="s">
        <v>236</v>
      </c>
      <c r="F33" s="268" t="s">
        <v>220</v>
      </c>
      <c r="G33" s="269" t="s">
        <v>220</v>
      </c>
      <c r="H33" s="195"/>
      <c r="I33" s="195"/>
      <c r="J33" s="195"/>
      <c r="K33" s="195"/>
      <c r="L33" s="195"/>
      <c r="M33" s="195"/>
      <c r="N33" s="195"/>
      <c r="O33" s="195"/>
    </row>
    <row r="34" spans="1:15" ht="13.65" customHeight="1" outlineLevel="1">
      <c r="A34" s="262" t="s">
        <v>209</v>
      </c>
      <c r="B34" s="297" t="s">
        <v>227</v>
      </c>
      <c r="C34" s="256"/>
      <c r="D34" s="256" t="s">
        <v>228</v>
      </c>
      <c r="E34" s="63" t="s">
        <v>237</v>
      </c>
      <c r="F34" s="268"/>
      <c r="G34" s="269"/>
      <c r="H34" s="195"/>
      <c r="I34" s="195"/>
      <c r="J34" s="195"/>
      <c r="K34" s="195"/>
      <c r="L34" s="195"/>
      <c r="M34" s="195"/>
      <c r="N34" s="195"/>
      <c r="O34" s="195"/>
    </row>
    <row r="35" spans="1:15" ht="13.65" customHeight="1" outlineLevel="1">
      <c r="A35" s="262" t="s">
        <v>209</v>
      </c>
      <c r="B35" s="297" t="s">
        <v>154</v>
      </c>
      <c r="C35" s="256"/>
      <c r="D35" s="256" t="s">
        <v>154</v>
      </c>
      <c r="E35" s="63" t="s">
        <v>238</v>
      </c>
      <c r="F35" s="268" t="s">
        <v>220</v>
      </c>
      <c r="G35" s="269" t="s">
        <v>239</v>
      </c>
      <c r="H35" s="195"/>
      <c r="I35" s="195"/>
      <c r="J35" s="195"/>
      <c r="K35" s="195"/>
      <c r="L35" s="195"/>
      <c r="M35" s="195"/>
      <c r="N35" s="195"/>
      <c r="O35" s="195"/>
    </row>
    <row r="36" spans="1:15" ht="13.65" customHeight="1">
      <c r="A36" s="262" t="s">
        <v>209</v>
      </c>
      <c r="B36" s="297" t="s">
        <v>154</v>
      </c>
      <c r="C36" s="256"/>
      <c r="D36" s="256" t="s">
        <v>154</v>
      </c>
      <c r="E36" s="63" t="s">
        <v>240</v>
      </c>
      <c r="F36" s="268" t="s">
        <v>220</v>
      </c>
      <c r="G36" s="269" t="s">
        <v>239</v>
      </c>
      <c r="H36" s="195"/>
      <c r="I36" s="195"/>
      <c r="J36" s="195"/>
      <c r="K36" s="195"/>
      <c r="L36" s="195"/>
      <c r="M36" s="195"/>
      <c r="N36" s="195"/>
      <c r="O36" s="195"/>
    </row>
    <row r="37" spans="1:15" ht="13.65" customHeight="1">
      <c r="A37" s="262" t="s">
        <v>209</v>
      </c>
      <c r="B37" s="297" t="s">
        <v>154</v>
      </c>
      <c r="C37" s="256"/>
      <c r="D37" s="256" t="s">
        <v>154</v>
      </c>
      <c r="E37" s="63" t="s">
        <v>241</v>
      </c>
      <c r="F37" s="268" t="s">
        <v>220</v>
      </c>
      <c r="G37" s="269" t="s">
        <v>239</v>
      </c>
      <c r="H37" s="195"/>
      <c r="I37" s="195"/>
      <c r="J37" s="195"/>
      <c r="K37" s="195"/>
      <c r="L37" s="195"/>
      <c r="M37" s="195"/>
      <c r="N37" s="195"/>
      <c r="O37" s="195"/>
    </row>
    <row r="38" spans="1:15" ht="13.65" customHeight="1">
      <c r="A38" s="262" t="s">
        <v>242</v>
      </c>
      <c r="B38" s="298" t="s">
        <v>243</v>
      </c>
      <c r="C38" s="257" t="s">
        <v>244</v>
      </c>
      <c r="D38" s="257" t="s">
        <v>245</v>
      </c>
      <c r="E38" s="248" t="s">
        <v>246</v>
      </c>
      <c r="F38" s="268"/>
      <c r="G38" s="269" t="s">
        <v>217</v>
      </c>
      <c r="H38" s="195"/>
      <c r="I38" s="195"/>
      <c r="J38" s="195"/>
      <c r="K38" s="195"/>
      <c r="L38" s="195"/>
      <c r="M38" s="195"/>
      <c r="N38" s="195"/>
      <c r="O38" s="195"/>
    </row>
    <row r="39" spans="1:15" ht="13.65" customHeight="1" outlineLevel="1">
      <c r="A39" s="262" t="s">
        <v>242</v>
      </c>
      <c r="B39" s="298" t="s">
        <v>243</v>
      </c>
      <c r="C39" s="257" t="s">
        <v>244</v>
      </c>
      <c r="D39" s="257" t="s">
        <v>245</v>
      </c>
      <c r="E39" s="247" t="s">
        <v>247</v>
      </c>
      <c r="F39" s="268"/>
      <c r="G39" s="269" t="s">
        <v>217</v>
      </c>
      <c r="H39" s="195"/>
      <c r="I39" s="195"/>
      <c r="J39" s="195"/>
      <c r="K39" s="195"/>
      <c r="L39" s="195"/>
      <c r="M39" s="195"/>
      <c r="N39" s="195"/>
      <c r="O39" s="195"/>
    </row>
    <row r="40" spans="1:15" ht="13.65" customHeight="1" outlineLevel="1">
      <c r="A40" s="262" t="s">
        <v>242</v>
      </c>
      <c r="B40" s="298" t="s">
        <v>243</v>
      </c>
      <c r="C40" s="257" t="s">
        <v>244</v>
      </c>
      <c r="D40" s="257" t="s">
        <v>245</v>
      </c>
      <c r="E40" s="248" t="s">
        <v>248</v>
      </c>
      <c r="F40" s="268"/>
      <c r="G40" s="269" t="s">
        <v>217</v>
      </c>
      <c r="H40" s="195"/>
      <c r="I40" s="195"/>
      <c r="J40" s="195"/>
      <c r="K40" s="195"/>
      <c r="L40" s="195"/>
      <c r="M40" s="195"/>
      <c r="N40" s="195"/>
      <c r="O40" s="195"/>
    </row>
    <row r="41" spans="1:15" ht="13.65" customHeight="1" outlineLevel="1">
      <c r="A41" s="262" t="s">
        <v>242</v>
      </c>
      <c r="B41" s="298" t="s">
        <v>243</v>
      </c>
      <c r="C41" s="257" t="s">
        <v>244</v>
      </c>
      <c r="D41" s="257" t="s">
        <v>245</v>
      </c>
      <c r="E41" s="247" t="s">
        <v>249</v>
      </c>
      <c r="F41" s="268"/>
      <c r="G41" s="269" t="s">
        <v>217</v>
      </c>
      <c r="H41" s="195"/>
      <c r="I41" s="195"/>
      <c r="J41" s="195"/>
      <c r="K41" s="195"/>
      <c r="L41" s="195"/>
      <c r="M41" s="195"/>
      <c r="N41" s="195"/>
      <c r="O41" s="195"/>
    </row>
    <row r="42" spans="1:15" ht="13.65" customHeight="1" outlineLevel="1">
      <c r="A42" s="262" t="s">
        <v>242</v>
      </c>
      <c r="B42" s="298" t="s">
        <v>243</v>
      </c>
      <c r="C42" s="257" t="s">
        <v>244</v>
      </c>
      <c r="D42" s="257" t="s">
        <v>245</v>
      </c>
      <c r="E42" s="248" t="s">
        <v>250</v>
      </c>
      <c r="F42" s="268"/>
      <c r="G42" s="269" t="s">
        <v>217</v>
      </c>
      <c r="H42" s="195"/>
      <c r="I42" s="195"/>
      <c r="J42" s="195"/>
      <c r="K42" s="195"/>
      <c r="L42" s="195"/>
      <c r="M42" s="195"/>
      <c r="N42" s="195"/>
      <c r="O42" s="195"/>
    </row>
    <row r="43" spans="1:15" ht="13.65" customHeight="1" outlineLevel="1">
      <c r="A43" s="262" t="s">
        <v>242</v>
      </c>
      <c r="B43" s="298" t="s">
        <v>243</v>
      </c>
      <c r="C43" s="257" t="s">
        <v>244</v>
      </c>
      <c r="D43" s="257" t="s">
        <v>245</v>
      </c>
      <c r="E43" s="247" t="s">
        <v>251</v>
      </c>
      <c r="F43" s="268"/>
      <c r="G43" s="269" t="s">
        <v>220</v>
      </c>
      <c r="H43" s="195"/>
      <c r="I43" s="195"/>
      <c r="J43" s="195"/>
      <c r="K43" s="195"/>
      <c r="L43" s="195"/>
      <c r="M43" s="195"/>
      <c r="N43" s="195"/>
      <c r="O43" s="195"/>
    </row>
    <row r="44" spans="1:15" ht="13.65" customHeight="1" outlineLevel="1">
      <c r="A44" s="262" t="s">
        <v>242</v>
      </c>
      <c r="B44" s="298" t="s">
        <v>243</v>
      </c>
      <c r="C44" s="257" t="s">
        <v>244</v>
      </c>
      <c r="D44" s="257" t="s">
        <v>245</v>
      </c>
      <c r="E44" s="248" t="s">
        <v>252</v>
      </c>
      <c r="F44" s="268"/>
      <c r="G44" s="269" t="s">
        <v>217</v>
      </c>
      <c r="H44" s="195"/>
      <c r="I44" s="195"/>
      <c r="J44" s="195"/>
      <c r="K44" s="195"/>
      <c r="L44" s="195"/>
      <c r="M44" s="195"/>
      <c r="N44" s="195"/>
      <c r="O44" s="195"/>
    </row>
    <row r="45" spans="1:15" ht="13.65" customHeight="1">
      <c r="A45" s="262" t="s">
        <v>242</v>
      </c>
      <c r="B45" s="298" t="s">
        <v>243</v>
      </c>
      <c r="C45" s="257" t="s">
        <v>253</v>
      </c>
      <c r="D45" s="257" t="s">
        <v>245</v>
      </c>
      <c r="E45" s="247" t="s">
        <v>254</v>
      </c>
      <c r="F45" s="268"/>
      <c r="G45" s="269" t="s">
        <v>213</v>
      </c>
      <c r="H45" s="195"/>
      <c r="I45" s="195"/>
      <c r="J45" s="195"/>
      <c r="K45" s="195"/>
      <c r="L45" s="195"/>
      <c r="M45" s="195"/>
      <c r="N45" s="195"/>
      <c r="O45" s="195"/>
    </row>
    <row r="46" spans="1:15" ht="13.65" customHeight="1" outlineLevel="1">
      <c r="A46" s="262" t="s">
        <v>242</v>
      </c>
      <c r="B46" s="298" t="s">
        <v>243</v>
      </c>
      <c r="C46" s="257" t="s">
        <v>253</v>
      </c>
      <c r="D46" s="257" t="s">
        <v>245</v>
      </c>
      <c r="E46" s="248" t="s">
        <v>255</v>
      </c>
      <c r="F46" s="268"/>
      <c r="G46" s="269" t="s">
        <v>213</v>
      </c>
      <c r="H46" s="195"/>
      <c r="I46" s="195"/>
      <c r="J46" s="195"/>
      <c r="K46" s="195"/>
      <c r="L46" s="195"/>
      <c r="M46" s="195"/>
      <c r="N46" s="195"/>
      <c r="O46" s="195"/>
    </row>
    <row r="47" spans="1:15" ht="13.65" customHeight="1" outlineLevel="1">
      <c r="A47" s="262" t="s">
        <v>242</v>
      </c>
      <c r="B47" s="298" t="s">
        <v>243</v>
      </c>
      <c r="C47" s="257" t="s">
        <v>253</v>
      </c>
      <c r="D47" s="257" t="s">
        <v>245</v>
      </c>
      <c r="E47" s="247" t="s">
        <v>256</v>
      </c>
      <c r="F47" s="268"/>
      <c r="G47" s="269" t="s">
        <v>213</v>
      </c>
      <c r="H47" s="195"/>
      <c r="I47" s="195"/>
      <c r="J47" s="195"/>
      <c r="K47" s="195"/>
      <c r="L47" s="195"/>
      <c r="M47" s="195"/>
      <c r="N47" s="195"/>
      <c r="O47" s="195"/>
    </row>
    <row r="48" spans="1:15" ht="13.65" customHeight="1">
      <c r="A48" s="262" t="s">
        <v>242</v>
      </c>
      <c r="B48" s="298" t="s">
        <v>243</v>
      </c>
      <c r="C48" s="257" t="s">
        <v>257</v>
      </c>
      <c r="D48" s="257" t="s">
        <v>245</v>
      </c>
      <c r="E48" s="247" t="s">
        <v>258</v>
      </c>
      <c r="F48" s="268" t="s">
        <v>212</v>
      </c>
      <c r="G48" s="269" t="s">
        <v>220</v>
      </c>
      <c r="H48" s="195"/>
      <c r="I48" s="195"/>
      <c r="J48" s="195"/>
      <c r="K48" s="195"/>
      <c r="L48" s="195"/>
      <c r="M48" s="195"/>
      <c r="N48" s="195"/>
      <c r="O48" s="195"/>
    </row>
    <row r="49" spans="1:15" ht="13.65" customHeight="1" outlineLevel="1">
      <c r="A49" s="262" t="s">
        <v>242</v>
      </c>
      <c r="B49" s="298" t="s">
        <v>243</v>
      </c>
      <c r="C49" s="257" t="s">
        <v>257</v>
      </c>
      <c r="D49" s="257" t="s">
        <v>245</v>
      </c>
      <c r="E49" s="248" t="s">
        <v>259</v>
      </c>
      <c r="F49" s="268"/>
      <c r="G49" s="269" t="s">
        <v>217</v>
      </c>
      <c r="H49" s="195"/>
      <c r="I49" s="195"/>
      <c r="J49" s="195"/>
      <c r="K49" s="195"/>
      <c r="L49" s="195"/>
      <c r="M49" s="195"/>
      <c r="N49" s="195"/>
      <c r="O49" s="195"/>
    </row>
    <row r="50" spans="1:15" ht="13.65" customHeight="1" outlineLevel="1">
      <c r="A50" s="262" t="s">
        <v>242</v>
      </c>
      <c r="B50" s="298" t="s">
        <v>243</v>
      </c>
      <c r="C50" s="257" t="s">
        <v>257</v>
      </c>
      <c r="D50" s="257" t="s">
        <v>245</v>
      </c>
      <c r="E50" s="247" t="s">
        <v>260</v>
      </c>
      <c r="F50" s="268"/>
      <c r="G50" s="269" t="s">
        <v>220</v>
      </c>
      <c r="H50" s="195"/>
      <c r="I50" s="195"/>
      <c r="J50" s="195"/>
      <c r="K50" s="195"/>
      <c r="L50" s="195"/>
      <c r="M50" s="195"/>
      <c r="N50" s="195"/>
      <c r="O50" s="195"/>
    </row>
    <row r="51" spans="1:15" ht="13.65" customHeight="1" outlineLevel="1">
      <c r="A51" s="262" t="s">
        <v>242</v>
      </c>
      <c r="B51" s="298" t="s">
        <v>243</v>
      </c>
      <c r="C51" s="257" t="s">
        <v>257</v>
      </c>
      <c r="D51" s="257" t="s">
        <v>245</v>
      </c>
      <c r="E51" s="248" t="s">
        <v>261</v>
      </c>
      <c r="F51" s="268"/>
      <c r="G51" s="269" t="s">
        <v>220</v>
      </c>
      <c r="H51" s="195"/>
      <c r="I51" s="195"/>
      <c r="J51" s="195"/>
      <c r="K51" s="195"/>
      <c r="L51" s="195"/>
      <c r="M51" s="195"/>
      <c r="N51" s="195"/>
      <c r="O51" s="195"/>
    </row>
    <row r="52" spans="1:15" ht="13.65" customHeight="1" outlineLevel="1">
      <c r="A52" s="262" t="s">
        <v>242</v>
      </c>
      <c r="B52" s="298" t="s">
        <v>243</v>
      </c>
      <c r="C52" s="257" t="s">
        <v>257</v>
      </c>
      <c r="D52" s="257" t="s">
        <v>245</v>
      </c>
      <c r="E52" s="247" t="s">
        <v>262</v>
      </c>
      <c r="F52" s="268"/>
      <c r="G52" s="269" t="s">
        <v>220</v>
      </c>
      <c r="H52" s="195"/>
      <c r="I52" s="195"/>
      <c r="J52" s="195"/>
      <c r="K52" s="195"/>
      <c r="L52" s="195"/>
      <c r="M52" s="195"/>
      <c r="N52" s="195"/>
      <c r="O52" s="195"/>
    </row>
    <row r="53" spans="1:15" ht="13.65" customHeight="1" outlineLevel="1">
      <c r="A53" s="262" t="s">
        <v>242</v>
      </c>
      <c r="B53" s="298" t="s">
        <v>243</v>
      </c>
      <c r="C53" s="257" t="s">
        <v>257</v>
      </c>
      <c r="D53" s="257" t="s">
        <v>245</v>
      </c>
      <c r="E53" s="248" t="s">
        <v>263</v>
      </c>
      <c r="F53" s="268"/>
      <c r="G53" s="269" t="s">
        <v>220</v>
      </c>
      <c r="H53" s="195"/>
      <c r="I53" s="195"/>
      <c r="J53" s="195"/>
      <c r="K53" s="195"/>
      <c r="L53" s="195"/>
      <c r="M53" s="195"/>
      <c r="N53" s="195"/>
      <c r="O53" s="195"/>
    </row>
    <row r="54" spans="1:15" ht="13.65" customHeight="1" outlineLevel="1">
      <c r="A54" s="262" t="s">
        <v>242</v>
      </c>
      <c r="B54" s="298" t="s">
        <v>243</v>
      </c>
      <c r="C54" s="257" t="s">
        <v>257</v>
      </c>
      <c r="D54" s="257" t="s">
        <v>245</v>
      </c>
      <c r="E54" s="247" t="s">
        <v>264</v>
      </c>
      <c r="F54" s="268"/>
      <c r="G54" s="269" t="s">
        <v>220</v>
      </c>
      <c r="H54" s="195"/>
      <c r="I54" s="195"/>
      <c r="J54" s="195"/>
      <c r="K54" s="195"/>
      <c r="L54" s="195"/>
      <c r="M54" s="195"/>
      <c r="N54" s="195"/>
      <c r="O54" s="195"/>
    </row>
    <row r="55" spans="1:15" ht="13.65" customHeight="1" outlineLevel="1">
      <c r="A55" s="262" t="s">
        <v>242</v>
      </c>
      <c r="B55" s="298" t="s">
        <v>243</v>
      </c>
      <c r="C55" s="257" t="s">
        <v>257</v>
      </c>
      <c r="D55" s="257" t="s">
        <v>245</v>
      </c>
      <c r="E55" s="248" t="s">
        <v>74</v>
      </c>
      <c r="F55" s="268"/>
      <c r="G55" s="269" t="s">
        <v>220</v>
      </c>
      <c r="H55" s="195"/>
      <c r="I55" s="195"/>
      <c r="J55" s="195"/>
      <c r="K55" s="195"/>
      <c r="L55" s="195"/>
      <c r="M55" s="195"/>
      <c r="N55" s="195"/>
      <c r="O55" s="195"/>
    </row>
    <row r="56" spans="1:15" ht="13.65" customHeight="1" outlineLevel="1">
      <c r="A56" s="262" t="s">
        <v>242</v>
      </c>
      <c r="B56" s="298" t="s">
        <v>243</v>
      </c>
      <c r="C56" s="257" t="s">
        <v>257</v>
      </c>
      <c r="D56" s="257" t="s">
        <v>245</v>
      </c>
      <c r="E56" s="247" t="s">
        <v>265</v>
      </c>
      <c r="F56" s="268"/>
      <c r="G56" s="269" t="s">
        <v>220</v>
      </c>
      <c r="H56" s="195"/>
      <c r="I56" s="195"/>
      <c r="J56" s="195"/>
      <c r="K56" s="195"/>
      <c r="L56" s="195"/>
      <c r="M56" s="195"/>
      <c r="N56" s="195"/>
      <c r="O56" s="195"/>
    </row>
    <row r="57" spans="1:15" ht="13.65" customHeight="1" outlineLevel="1">
      <c r="A57" s="262" t="s">
        <v>242</v>
      </c>
      <c r="B57" s="298" t="s">
        <v>243</v>
      </c>
      <c r="C57" s="257" t="s">
        <v>257</v>
      </c>
      <c r="D57" s="257" t="s">
        <v>245</v>
      </c>
      <c r="E57" s="248" t="s">
        <v>266</v>
      </c>
      <c r="F57" s="268"/>
      <c r="G57" s="269" t="s">
        <v>220</v>
      </c>
      <c r="H57" s="195"/>
      <c r="I57" s="195"/>
      <c r="J57" s="195"/>
      <c r="K57" s="195"/>
      <c r="L57" s="195"/>
      <c r="M57" s="195"/>
      <c r="N57" s="195"/>
      <c r="O57" s="195"/>
    </row>
    <row r="58" spans="1:15" ht="13.65" customHeight="1" outlineLevel="1">
      <c r="A58" s="262" t="s">
        <v>242</v>
      </c>
      <c r="B58" s="298" t="s">
        <v>243</v>
      </c>
      <c r="C58" s="257" t="s">
        <v>257</v>
      </c>
      <c r="D58" s="257" t="s">
        <v>245</v>
      </c>
      <c r="E58" s="247" t="s">
        <v>267</v>
      </c>
      <c r="F58" s="268"/>
      <c r="G58" s="269" t="s">
        <v>220</v>
      </c>
      <c r="H58" s="195"/>
      <c r="I58" s="195"/>
      <c r="J58" s="195"/>
      <c r="K58" s="195"/>
      <c r="L58" s="195"/>
      <c r="M58" s="195"/>
      <c r="N58" s="195"/>
      <c r="O58" s="195"/>
    </row>
    <row r="59" spans="1:15" ht="13.65" customHeight="1" outlineLevel="1">
      <c r="A59" s="262" t="s">
        <v>242</v>
      </c>
      <c r="B59" s="298" t="s">
        <v>243</v>
      </c>
      <c r="C59" s="257" t="s">
        <v>257</v>
      </c>
      <c r="D59" s="257" t="s">
        <v>245</v>
      </c>
      <c r="E59" s="248" t="s">
        <v>268</v>
      </c>
      <c r="F59" s="268"/>
      <c r="G59" s="269" t="s">
        <v>220</v>
      </c>
      <c r="H59" s="195"/>
      <c r="I59" s="195"/>
      <c r="J59" s="195"/>
      <c r="K59" s="195"/>
      <c r="L59" s="195"/>
      <c r="M59" s="195"/>
      <c r="N59" s="195"/>
      <c r="O59" s="195"/>
    </row>
    <row r="60" spans="1:15" ht="13.65" customHeight="1" outlineLevel="1">
      <c r="A60" s="262" t="s">
        <v>242</v>
      </c>
      <c r="B60" s="298" t="s">
        <v>243</v>
      </c>
      <c r="C60" s="257" t="s">
        <v>257</v>
      </c>
      <c r="D60" s="257" t="s">
        <v>245</v>
      </c>
      <c r="E60" s="247" t="s">
        <v>269</v>
      </c>
      <c r="F60" s="268"/>
      <c r="G60" s="269" t="s">
        <v>220</v>
      </c>
      <c r="H60" s="195"/>
      <c r="I60" s="195"/>
      <c r="J60" s="195"/>
      <c r="K60" s="195"/>
      <c r="L60" s="195"/>
      <c r="M60" s="195"/>
      <c r="N60" s="195"/>
      <c r="O60" s="195"/>
    </row>
    <row r="61" spans="1:15" ht="13.65" customHeight="1" outlineLevel="1">
      <c r="A61" s="262" t="s">
        <v>242</v>
      </c>
      <c r="B61" s="298" t="s">
        <v>243</v>
      </c>
      <c r="C61" s="257" t="s">
        <v>257</v>
      </c>
      <c r="D61" s="257" t="s">
        <v>245</v>
      </c>
      <c r="E61" s="248" t="s">
        <v>270</v>
      </c>
      <c r="F61" s="268"/>
      <c r="G61" s="269" t="s">
        <v>220</v>
      </c>
      <c r="H61" s="195"/>
      <c r="I61" s="195"/>
      <c r="J61" s="195"/>
      <c r="K61" s="195"/>
      <c r="L61" s="195"/>
      <c r="M61" s="195"/>
      <c r="N61" s="195"/>
      <c r="O61" s="195"/>
    </row>
    <row r="62" spans="1:15" ht="13.65" customHeight="1" outlineLevel="1">
      <c r="A62" s="262" t="s">
        <v>242</v>
      </c>
      <c r="B62" s="298" t="s">
        <v>243</v>
      </c>
      <c r="C62" s="257" t="s">
        <v>257</v>
      </c>
      <c r="D62" s="257" t="s">
        <v>245</v>
      </c>
      <c r="E62" s="247" t="s">
        <v>271</v>
      </c>
      <c r="F62" s="268"/>
      <c r="G62" s="269" t="s">
        <v>220</v>
      </c>
      <c r="H62" s="195"/>
      <c r="I62" s="195"/>
      <c r="J62" s="195"/>
      <c r="K62" s="195"/>
      <c r="L62" s="195"/>
      <c r="M62" s="195"/>
      <c r="N62" s="195"/>
      <c r="O62" s="195"/>
    </row>
    <row r="63" spans="1:15" ht="13.65" customHeight="1" outlineLevel="1">
      <c r="A63" s="262" t="s">
        <v>242</v>
      </c>
      <c r="B63" s="298" t="s">
        <v>243</v>
      </c>
      <c r="C63" s="257" t="s">
        <v>257</v>
      </c>
      <c r="D63" s="257" t="s">
        <v>245</v>
      </c>
      <c r="E63" s="248" t="s">
        <v>272</v>
      </c>
      <c r="F63" s="268"/>
      <c r="G63" s="269" t="s">
        <v>220</v>
      </c>
      <c r="H63" s="195"/>
      <c r="I63" s="195"/>
      <c r="J63" s="195"/>
      <c r="K63" s="195"/>
      <c r="L63" s="195"/>
      <c r="M63" s="195"/>
      <c r="N63" s="195"/>
      <c r="O63" s="195"/>
    </row>
    <row r="64" spans="1:15" ht="13.65" customHeight="1" outlineLevel="1">
      <c r="A64" s="262" t="s">
        <v>242</v>
      </c>
      <c r="B64" s="298" t="s">
        <v>243</v>
      </c>
      <c r="C64" s="257" t="s">
        <v>257</v>
      </c>
      <c r="D64" s="257" t="s">
        <v>245</v>
      </c>
      <c r="E64" s="247" t="s">
        <v>273</v>
      </c>
      <c r="F64" s="268"/>
      <c r="G64" s="269" t="s">
        <v>220</v>
      </c>
      <c r="H64" s="195"/>
      <c r="I64" s="195"/>
      <c r="J64" s="195"/>
      <c r="K64" s="195"/>
      <c r="L64" s="195"/>
      <c r="M64" s="195"/>
      <c r="N64" s="195"/>
      <c r="O64" s="195"/>
    </row>
    <row r="65" spans="1:15" ht="13.65" customHeight="1" outlineLevel="1">
      <c r="A65" s="262" t="s">
        <v>242</v>
      </c>
      <c r="B65" s="298" t="s">
        <v>243</v>
      </c>
      <c r="C65" s="257" t="s">
        <v>257</v>
      </c>
      <c r="D65" s="257" t="s">
        <v>245</v>
      </c>
      <c r="E65" s="248" t="s">
        <v>274</v>
      </c>
      <c r="F65" s="268"/>
      <c r="G65" s="269" t="s">
        <v>220</v>
      </c>
      <c r="H65" s="195"/>
      <c r="I65" s="195"/>
      <c r="J65" s="195"/>
      <c r="K65" s="195"/>
      <c r="L65" s="195"/>
      <c r="M65" s="195"/>
      <c r="N65" s="195"/>
      <c r="O65" s="195"/>
    </row>
    <row r="66" spans="1:15" ht="13.65" customHeight="1" outlineLevel="1">
      <c r="A66" s="262" t="s">
        <v>242</v>
      </c>
      <c r="B66" s="298" t="s">
        <v>243</v>
      </c>
      <c r="C66" s="257" t="s">
        <v>257</v>
      </c>
      <c r="D66" s="257" t="s">
        <v>245</v>
      </c>
      <c r="E66" s="247" t="s">
        <v>275</v>
      </c>
      <c r="F66" s="268"/>
      <c r="G66" s="269" t="s">
        <v>220</v>
      </c>
      <c r="H66" s="195"/>
      <c r="I66" s="195"/>
      <c r="J66" s="195"/>
      <c r="K66" s="195"/>
      <c r="L66" s="195"/>
      <c r="M66" s="195"/>
      <c r="N66" s="195"/>
      <c r="O66" s="195"/>
    </row>
    <row r="67" spans="1:15" ht="13.65" customHeight="1" outlineLevel="1">
      <c r="A67" s="262" t="s">
        <v>242</v>
      </c>
      <c r="B67" s="298" t="s">
        <v>243</v>
      </c>
      <c r="C67" s="257" t="s">
        <v>257</v>
      </c>
      <c r="D67" s="257" t="s">
        <v>245</v>
      </c>
      <c r="E67" s="248" t="s">
        <v>276</v>
      </c>
      <c r="F67" s="268"/>
      <c r="G67" s="269" t="s">
        <v>220</v>
      </c>
      <c r="H67" s="195"/>
      <c r="I67" s="195"/>
      <c r="J67" s="195"/>
      <c r="K67" s="195"/>
      <c r="L67" s="195"/>
      <c r="M67" s="195"/>
      <c r="N67" s="195"/>
      <c r="O67" s="195"/>
    </row>
    <row r="68" spans="1:15" ht="13.65" customHeight="1" outlineLevel="1">
      <c r="A68" s="262" t="s">
        <v>242</v>
      </c>
      <c r="B68" s="298" t="s">
        <v>243</v>
      </c>
      <c r="C68" s="257" t="s">
        <v>257</v>
      </c>
      <c r="D68" s="257" t="s">
        <v>245</v>
      </c>
      <c r="E68" s="247" t="s">
        <v>277</v>
      </c>
      <c r="F68" s="268"/>
      <c r="G68" s="269" t="s">
        <v>220</v>
      </c>
      <c r="H68" s="195"/>
      <c r="I68" s="195"/>
      <c r="J68" s="195"/>
      <c r="K68" s="195"/>
      <c r="L68" s="195"/>
      <c r="M68" s="195"/>
      <c r="N68" s="195"/>
      <c r="O68" s="195"/>
    </row>
    <row r="69" spans="1:15" ht="13.65" customHeight="1" outlineLevel="1">
      <c r="A69" s="262" t="s">
        <v>242</v>
      </c>
      <c r="B69" s="298" t="s">
        <v>243</v>
      </c>
      <c r="C69" s="257" t="s">
        <v>257</v>
      </c>
      <c r="D69" s="257" t="s">
        <v>245</v>
      </c>
      <c r="E69" s="248" t="s">
        <v>278</v>
      </c>
      <c r="F69" s="268"/>
      <c r="G69" s="269" t="s">
        <v>220</v>
      </c>
      <c r="H69" s="195"/>
      <c r="I69" s="195"/>
      <c r="J69" s="195"/>
      <c r="K69" s="195"/>
      <c r="L69" s="195"/>
      <c r="M69" s="195"/>
      <c r="N69" s="195"/>
      <c r="O69" s="195"/>
    </row>
    <row r="70" spans="1:15" ht="13.65" customHeight="1">
      <c r="A70" s="262" t="s">
        <v>242</v>
      </c>
      <c r="B70" s="298" t="s">
        <v>243</v>
      </c>
      <c r="C70" s="257" t="s">
        <v>279</v>
      </c>
      <c r="D70" s="257" t="s">
        <v>245</v>
      </c>
      <c r="E70" s="247" t="s">
        <v>280</v>
      </c>
      <c r="F70" s="268"/>
      <c r="G70" s="269" t="s">
        <v>217</v>
      </c>
      <c r="H70" s="195"/>
      <c r="I70" s="195"/>
      <c r="J70" s="195"/>
      <c r="K70" s="195"/>
      <c r="L70" s="195"/>
      <c r="M70" s="195"/>
      <c r="N70" s="195"/>
      <c r="O70" s="195"/>
    </row>
    <row r="71" spans="1:15" ht="13.65" customHeight="1" outlineLevel="1">
      <c r="A71" s="262" t="s">
        <v>242</v>
      </c>
      <c r="B71" s="298" t="s">
        <v>243</v>
      </c>
      <c r="C71" s="257" t="s">
        <v>279</v>
      </c>
      <c r="D71" s="257" t="s">
        <v>245</v>
      </c>
      <c r="E71" s="248" t="s">
        <v>281</v>
      </c>
      <c r="F71" s="268"/>
      <c r="G71" s="269" t="s">
        <v>217</v>
      </c>
      <c r="H71" s="195"/>
      <c r="I71" s="195"/>
      <c r="J71" s="195"/>
      <c r="K71" s="195"/>
      <c r="L71" s="195"/>
      <c r="M71" s="195"/>
      <c r="N71" s="195"/>
      <c r="O71" s="195"/>
    </row>
    <row r="72" spans="1:15" ht="13.65" customHeight="1" outlineLevel="1">
      <c r="A72" s="262" t="s">
        <v>242</v>
      </c>
      <c r="B72" s="298" t="s">
        <v>243</v>
      </c>
      <c r="C72" s="257" t="s">
        <v>279</v>
      </c>
      <c r="D72" s="257" t="s">
        <v>245</v>
      </c>
      <c r="E72" s="247" t="s">
        <v>282</v>
      </c>
      <c r="F72" s="268"/>
      <c r="G72" s="269" t="s">
        <v>217</v>
      </c>
      <c r="H72" s="195"/>
      <c r="I72" s="195"/>
      <c r="J72" s="195"/>
      <c r="K72" s="195"/>
      <c r="L72" s="195"/>
      <c r="M72" s="195"/>
      <c r="N72" s="195"/>
      <c r="O72" s="195"/>
    </row>
    <row r="73" spans="1:15" ht="13.65" customHeight="1">
      <c r="A73" s="262" t="s">
        <v>242</v>
      </c>
      <c r="B73" s="298" t="s">
        <v>243</v>
      </c>
      <c r="C73" s="257" t="s">
        <v>283</v>
      </c>
      <c r="D73" s="257" t="s">
        <v>245</v>
      </c>
      <c r="E73" s="247" t="s">
        <v>184</v>
      </c>
      <c r="F73" s="268"/>
      <c r="G73" s="269" t="s">
        <v>217</v>
      </c>
      <c r="H73" s="195"/>
      <c r="I73" s="195"/>
      <c r="J73" s="195"/>
      <c r="K73" s="195"/>
      <c r="L73" s="195"/>
      <c r="M73" s="195"/>
      <c r="N73" s="195"/>
      <c r="O73" s="195"/>
    </row>
    <row r="74" spans="1:15" ht="13.65" customHeight="1" outlineLevel="1">
      <c r="A74" s="262" t="s">
        <v>242</v>
      </c>
      <c r="B74" s="298" t="s">
        <v>243</v>
      </c>
      <c r="C74" s="257" t="s">
        <v>283</v>
      </c>
      <c r="D74" s="257" t="s">
        <v>245</v>
      </c>
      <c r="E74" s="248" t="s">
        <v>284</v>
      </c>
      <c r="F74" s="268"/>
      <c r="G74" s="269" t="s">
        <v>217</v>
      </c>
      <c r="H74" s="195"/>
      <c r="I74" s="195"/>
      <c r="J74" s="195"/>
      <c r="K74" s="195"/>
      <c r="L74" s="195"/>
      <c r="M74" s="195"/>
      <c r="N74" s="195"/>
      <c r="O74" s="195"/>
    </row>
    <row r="75" spans="1:15" ht="13.65" customHeight="1">
      <c r="A75" s="262" t="s">
        <v>242</v>
      </c>
      <c r="B75" s="298" t="s">
        <v>243</v>
      </c>
      <c r="C75" s="257" t="s">
        <v>285</v>
      </c>
      <c r="D75" s="257" t="s">
        <v>245</v>
      </c>
      <c r="E75" s="247" t="s">
        <v>286</v>
      </c>
      <c r="F75" s="268"/>
      <c r="G75" s="269" t="s">
        <v>217</v>
      </c>
      <c r="H75" s="195"/>
      <c r="I75" s="195"/>
      <c r="J75" s="195"/>
      <c r="K75" s="195"/>
      <c r="L75" s="195"/>
      <c r="M75" s="195"/>
      <c r="N75" s="195"/>
      <c r="O75" s="195"/>
    </row>
    <row r="76" spans="1:15" ht="13.65" customHeight="1" outlineLevel="1">
      <c r="A76" s="262" t="s">
        <v>242</v>
      </c>
      <c r="B76" s="298" t="s">
        <v>243</v>
      </c>
      <c r="C76" s="257" t="s">
        <v>285</v>
      </c>
      <c r="D76" s="257" t="s">
        <v>245</v>
      </c>
      <c r="E76" s="248" t="s">
        <v>287</v>
      </c>
      <c r="F76" s="268"/>
      <c r="G76" s="269" t="s">
        <v>217</v>
      </c>
      <c r="H76" s="195"/>
      <c r="I76" s="195"/>
      <c r="J76" s="195"/>
      <c r="K76" s="195"/>
      <c r="L76" s="195"/>
      <c r="M76" s="195"/>
      <c r="N76" s="195"/>
      <c r="O76" s="195"/>
    </row>
    <row r="77" spans="1:15" ht="13.65" customHeight="1" outlineLevel="1">
      <c r="A77" s="262" t="s">
        <v>242</v>
      </c>
      <c r="B77" s="298" t="s">
        <v>243</v>
      </c>
      <c r="C77" s="257" t="s">
        <v>285</v>
      </c>
      <c r="D77" s="257" t="s">
        <v>245</v>
      </c>
      <c r="E77" s="247" t="s">
        <v>288</v>
      </c>
      <c r="F77" s="268"/>
      <c r="G77" s="269" t="s">
        <v>217</v>
      </c>
      <c r="H77" s="195"/>
      <c r="I77" s="195"/>
      <c r="J77" s="195"/>
      <c r="K77" s="195"/>
      <c r="L77" s="195"/>
      <c r="M77" s="195"/>
      <c r="N77" s="195"/>
      <c r="O77" s="195"/>
    </row>
    <row r="78" spans="1:15" ht="13.65" customHeight="1">
      <c r="A78" s="262" t="s">
        <v>242</v>
      </c>
      <c r="B78" s="298" t="s">
        <v>243</v>
      </c>
      <c r="C78" s="257" t="s">
        <v>289</v>
      </c>
      <c r="D78" s="257" t="s">
        <v>245</v>
      </c>
      <c r="E78" s="247" t="s">
        <v>290</v>
      </c>
      <c r="F78" s="268"/>
      <c r="G78" s="269" t="s">
        <v>213</v>
      </c>
      <c r="H78" s="195"/>
      <c r="I78" s="195"/>
      <c r="J78" s="195"/>
      <c r="K78" s="195"/>
      <c r="L78" s="195"/>
      <c r="M78" s="195"/>
      <c r="N78" s="195"/>
      <c r="O78" s="195"/>
    </row>
    <row r="79" spans="1:15" ht="13.65" customHeight="1">
      <c r="A79" s="262" t="s">
        <v>242</v>
      </c>
      <c r="B79" s="298" t="s">
        <v>243</v>
      </c>
      <c r="C79" s="257" t="s">
        <v>291</v>
      </c>
      <c r="D79" s="257" t="s">
        <v>245</v>
      </c>
      <c r="E79" s="247" t="s">
        <v>292</v>
      </c>
      <c r="F79" s="268"/>
      <c r="G79" s="269" t="s">
        <v>217</v>
      </c>
      <c r="H79" s="195"/>
      <c r="I79" s="195"/>
      <c r="J79" s="195"/>
      <c r="K79" s="195"/>
      <c r="L79" s="195"/>
      <c r="M79" s="195"/>
      <c r="N79" s="195"/>
      <c r="O79" s="195"/>
    </row>
    <row r="80" spans="1:15" ht="13.65" customHeight="1" outlineLevel="1">
      <c r="A80" s="262" t="s">
        <v>242</v>
      </c>
      <c r="B80" s="298" t="s">
        <v>243</v>
      </c>
      <c r="C80" s="257" t="s">
        <v>291</v>
      </c>
      <c r="D80" s="257" t="s">
        <v>245</v>
      </c>
      <c r="E80" s="248" t="s">
        <v>293</v>
      </c>
      <c r="F80" s="268"/>
      <c r="G80" s="269" t="s">
        <v>220</v>
      </c>
      <c r="H80" s="195"/>
      <c r="I80" s="195"/>
      <c r="J80" s="195"/>
      <c r="K80" s="195"/>
      <c r="L80" s="195"/>
      <c r="M80" s="195"/>
      <c r="N80" s="195"/>
      <c r="O80" s="195"/>
    </row>
    <row r="81" spans="1:15" ht="13.65" customHeight="1" outlineLevel="1">
      <c r="A81" s="262" t="s">
        <v>242</v>
      </c>
      <c r="B81" s="298" t="s">
        <v>243</v>
      </c>
      <c r="C81" s="257" t="s">
        <v>291</v>
      </c>
      <c r="D81" s="257" t="s">
        <v>245</v>
      </c>
      <c r="E81" s="247" t="s">
        <v>294</v>
      </c>
      <c r="F81" s="268"/>
      <c r="G81" s="269" t="s">
        <v>220</v>
      </c>
      <c r="H81" s="195"/>
      <c r="I81" s="195"/>
      <c r="J81" s="195"/>
      <c r="K81" s="195"/>
      <c r="L81" s="195"/>
      <c r="M81" s="195"/>
      <c r="N81" s="195"/>
      <c r="O81" s="195"/>
    </row>
    <row r="82" spans="1:15" ht="13.65" customHeight="1" outlineLevel="1">
      <c r="A82" s="262" t="s">
        <v>242</v>
      </c>
      <c r="B82" s="298" t="s">
        <v>243</v>
      </c>
      <c r="C82" s="257" t="s">
        <v>291</v>
      </c>
      <c r="D82" s="257" t="s">
        <v>245</v>
      </c>
      <c r="E82" s="248" t="s">
        <v>295</v>
      </c>
      <c r="F82" s="268"/>
      <c r="G82" s="269" t="s">
        <v>220</v>
      </c>
      <c r="H82" s="195"/>
      <c r="I82" s="195"/>
      <c r="J82" s="195"/>
      <c r="K82" s="195"/>
      <c r="L82" s="195"/>
      <c r="M82" s="195"/>
      <c r="N82" s="195"/>
      <c r="O82" s="195"/>
    </row>
    <row r="83" spans="1:15" ht="13.65" customHeight="1" outlineLevel="1">
      <c r="A83" s="262" t="s">
        <v>242</v>
      </c>
      <c r="B83" s="298" t="s">
        <v>243</v>
      </c>
      <c r="C83" s="257" t="s">
        <v>291</v>
      </c>
      <c r="D83" s="257" t="s">
        <v>245</v>
      </c>
      <c r="E83" s="247" t="s">
        <v>296</v>
      </c>
      <c r="F83" s="268"/>
      <c r="G83" s="269" t="s">
        <v>217</v>
      </c>
      <c r="H83" s="195"/>
      <c r="I83" s="195"/>
      <c r="J83" s="195"/>
      <c r="K83" s="195"/>
      <c r="L83" s="195"/>
      <c r="M83" s="195"/>
      <c r="N83" s="195"/>
      <c r="O83" s="195"/>
    </row>
    <row r="84" spans="1:15" ht="13.65" customHeight="1" outlineLevel="1">
      <c r="A84" s="262" t="s">
        <v>242</v>
      </c>
      <c r="B84" s="298" t="s">
        <v>243</v>
      </c>
      <c r="C84" s="257" t="s">
        <v>291</v>
      </c>
      <c r="D84" s="257" t="s">
        <v>245</v>
      </c>
      <c r="E84" s="248" t="s">
        <v>297</v>
      </c>
      <c r="F84" s="268"/>
      <c r="G84" s="269" t="s">
        <v>220</v>
      </c>
      <c r="H84" s="195"/>
      <c r="I84" s="195"/>
      <c r="J84" s="195"/>
      <c r="K84" s="195"/>
      <c r="L84" s="195"/>
      <c r="M84" s="195"/>
      <c r="N84" s="195"/>
      <c r="O84" s="195"/>
    </row>
    <row r="85" spans="1:15" ht="13.65" customHeight="1" outlineLevel="1">
      <c r="A85" s="262" t="s">
        <v>242</v>
      </c>
      <c r="B85" s="298" t="s">
        <v>243</v>
      </c>
      <c r="C85" s="257" t="s">
        <v>291</v>
      </c>
      <c r="D85" s="257" t="s">
        <v>245</v>
      </c>
      <c r="E85" s="247" t="s">
        <v>109</v>
      </c>
      <c r="F85" s="268"/>
      <c r="G85" s="269" t="s">
        <v>220</v>
      </c>
      <c r="H85" s="195"/>
      <c r="I85" s="195"/>
      <c r="J85" s="195"/>
      <c r="K85" s="195"/>
      <c r="L85" s="195"/>
      <c r="M85" s="195"/>
      <c r="N85" s="195"/>
      <c r="O85" s="195"/>
    </row>
    <row r="86" spans="1:15" ht="13.65" customHeight="1">
      <c r="A86" s="262" t="s">
        <v>242</v>
      </c>
      <c r="B86" s="298" t="s">
        <v>243</v>
      </c>
      <c r="C86" s="257" t="s">
        <v>298</v>
      </c>
      <c r="D86" s="257" t="s">
        <v>245</v>
      </c>
      <c r="E86" s="247" t="s">
        <v>299</v>
      </c>
      <c r="F86" s="268"/>
      <c r="G86" s="269" t="s">
        <v>220</v>
      </c>
      <c r="H86" s="195"/>
      <c r="I86" s="195"/>
      <c r="J86" s="195"/>
      <c r="K86" s="195"/>
      <c r="L86" s="195"/>
      <c r="M86" s="195"/>
      <c r="N86" s="195"/>
      <c r="O86" s="195"/>
    </row>
    <row r="87" spans="1:15" ht="13.65" customHeight="1">
      <c r="A87" s="262" t="s">
        <v>242</v>
      </c>
      <c r="B87" s="298" t="s">
        <v>243</v>
      </c>
      <c r="C87" s="257" t="s">
        <v>300</v>
      </c>
      <c r="D87" s="257" t="s">
        <v>245</v>
      </c>
      <c r="E87" s="247" t="s">
        <v>301</v>
      </c>
      <c r="F87" s="268"/>
      <c r="G87" s="269" t="s">
        <v>217</v>
      </c>
      <c r="H87" s="195"/>
      <c r="I87" s="195"/>
      <c r="J87" s="195"/>
      <c r="K87" s="195"/>
      <c r="L87" s="195"/>
      <c r="M87" s="195"/>
      <c r="N87" s="195"/>
      <c r="O87" s="195"/>
    </row>
    <row r="88" spans="1:15" ht="13.65" customHeight="1">
      <c r="A88" s="262" t="s">
        <v>242</v>
      </c>
      <c r="B88" s="298" t="s">
        <v>243</v>
      </c>
      <c r="C88" s="257" t="s">
        <v>302</v>
      </c>
      <c r="D88" s="257" t="s">
        <v>245</v>
      </c>
      <c r="E88" s="251" t="s">
        <v>302</v>
      </c>
      <c r="F88" s="268"/>
      <c r="G88" s="269"/>
      <c r="H88" s="195"/>
      <c r="I88" s="195"/>
      <c r="J88" s="195"/>
      <c r="K88" s="195"/>
      <c r="L88" s="195"/>
      <c r="M88" s="195"/>
      <c r="N88" s="195"/>
      <c r="O88" s="195"/>
    </row>
    <row r="89" spans="1:15" ht="13.65" customHeight="1" outlineLevel="1">
      <c r="A89" s="262" t="s">
        <v>242</v>
      </c>
      <c r="B89" s="298" t="s">
        <v>243</v>
      </c>
      <c r="C89" s="257" t="s">
        <v>302</v>
      </c>
      <c r="D89" s="257" t="s">
        <v>245</v>
      </c>
      <c r="E89" s="104" t="s">
        <v>246</v>
      </c>
      <c r="F89" s="268"/>
      <c r="G89" s="269"/>
      <c r="H89" s="195"/>
      <c r="I89" s="195"/>
      <c r="J89" s="195"/>
      <c r="K89" s="195"/>
      <c r="L89" s="195"/>
      <c r="M89" s="195"/>
      <c r="N89" s="195"/>
      <c r="O89" s="195"/>
    </row>
    <row r="90" spans="1:15" ht="13.65" customHeight="1" outlineLevel="1">
      <c r="A90" s="262" t="s">
        <v>242</v>
      </c>
      <c r="B90" s="298" t="s">
        <v>303</v>
      </c>
      <c r="C90" s="257"/>
      <c r="D90" s="257"/>
      <c r="E90" s="249" t="s">
        <v>304</v>
      </c>
      <c r="F90" s="268"/>
      <c r="G90" s="269"/>
      <c r="H90" s="195"/>
      <c r="I90" s="195"/>
      <c r="J90" s="195"/>
      <c r="K90" s="195"/>
      <c r="L90" s="195"/>
      <c r="M90" s="195"/>
      <c r="N90" s="195"/>
      <c r="O90" s="195"/>
    </row>
    <row r="91" spans="1:15" ht="13.65" customHeight="1">
      <c r="A91" s="262" t="s">
        <v>242</v>
      </c>
      <c r="B91" s="298" t="s">
        <v>303</v>
      </c>
      <c r="C91" s="257"/>
      <c r="D91" s="257"/>
      <c r="E91" s="249" t="s">
        <v>305</v>
      </c>
      <c r="F91" s="268"/>
      <c r="G91" s="269"/>
      <c r="H91" s="195"/>
      <c r="I91" s="195"/>
      <c r="J91" s="195"/>
      <c r="K91" s="195"/>
      <c r="L91" s="195"/>
      <c r="M91" s="195"/>
      <c r="N91" s="195"/>
      <c r="O91" s="195"/>
    </row>
    <row r="92" spans="1:15" ht="13.65" customHeight="1">
      <c r="A92" s="262" t="s">
        <v>242</v>
      </c>
      <c r="B92" s="298" t="s">
        <v>303</v>
      </c>
      <c r="C92" s="257"/>
      <c r="D92" s="257"/>
      <c r="E92" s="249" t="s">
        <v>306</v>
      </c>
      <c r="F92" s="268"/>
      <c r="G92" s="269"/>
      <c r="H92" s="195"/>
      <c r="I92" s="195"/>
      <c r="J92" s="195"/>
      <c r="K92" s="195"/>
      <c r="L92" s="195"/>
      <c r="M92" s="195"/>
      <c r="N92" s="195"/>
      <c r="O92" s="195"/>
    </row>
    <row r="93" spans="1:15" ht="13.65" customHeight="1">
      <c r="A93" s="262" t="s">
        <v>242</v>
      </c>
      <c r="B93" s="298" t="s">
        <v>303</v>
      </c>
      <c r="C93" s="257"/>
      <c r="D93" s="257"/>
      <c r="E93" s="249" t="s">
        <v>307</v>
      </c>
      <c r="F93" s="268"/>
      <c r="G93" s="269"/>
      <c r="H93" s="195"/>
      <c r="I93" s="195"/>
      <c r="J93" s="195"/>
      <c r="K93" s="195"/>
      <c r="L93" s="195"/>
      <c r="M93" s="195"/>
      <c r="N93" s="195"/>
      <c r="O93" s="195"/>
    </row>
    <row r="94" spans="1:15" ht="13.65" customHeight="1">
      <c r="A94" s="262" t="s">
        <v>242</v>
      </c>
      <c r="B94" s="298" t="s">
        <v>303</v>
      </c>
      <c r="C94" s="257"/>
      <c r="D94" s="257"/>
      <c r="E94" s="249" t="s">
        <v>308</v>
      </c>
      <c r="F94" s="268"/>
      <c r="G94" s="269"/>
      <c r="H94" s="195"/>
      <c r="I94" s="195"/>
      <c r="J94" s="195"/>
      <c r="K94" s="195"/>
      <c r="L94" s="195"/>
      <c r="M94" s="195"/>
      <c r="N94" s="195"/>
      <c r="O94" s="195"/>
    </row>
    <row r="95" spans="1:15" ht="13.65" customHeight="1">
      <c r="A95" s="262" t="s">
        <v>242</v>
      </c>
      <c r="B95" s="298" t="s">
        <v>303</v>
      </c>
      <c r="C95" s="257"/>
      <c r="D95" s="257"/>
      <c r="E95" s="249" t="s">
        <v>309</v>
      </c>
      <c r="F95" s="268"/>
      <c r="G95" s="269"/>
      <c r="H95" s="195"/>
      <c r="I95" s="195"/>
      <c r="J95" s="195"/>
      <c r="K95" s="195"/>
      <c r="L95" s="195"/>
      <c r="M95" s="195"/>
      <c r="N95" s="195"/>
      <c r="O95" s="195"/>
    </row>
    <row r="96" spans="1:15" ht="13.65" customHeight="1">
      <c r="A96" s="262" t="s">
        <v>242</v>
      </c>
      <c r="B96" s="298" t="s">
        <v>303</v>
      </c>
      <c r="C96" s="257"/>
      <c r="D96" s="257"/>
      <c r="E96" s="249" t="s">
        <v>310</v>
      </c>
      <c r="F96" s="268"/>
      <c r="G96" s="269"/>
      <c r="H96" s="195"/>
      <c r="I96" s="195"/>
      <c r="J96" s="195"/>
      <c r="K96" s="195"/>
      <c r="L96" s="195"/>
      <c r="M96" s="195"/>
      <c r="N96" s="195"/>
      <c r="O96" s="195"/>
    </row>
    <row r="97" spans="1:55" ht="13.65" customHeight="1">
      <c r="A97" s="262" t="s">
        <v>242</v>
      </c>
      <c r="B97" s="298" t="s">
        <v>303</v>
      </c>
      <c r="C97" s="257"/>
      <c r="D97" s="257"/>
      <c r="E97" s="249" t="s">
        <v>311</v>
      </c>
      <c r="F97" s="268"/>
      <c r="G97" s="269"/>
      <c r="H97" s="195"/>
      <c r="I97" s="195"/>
      <c r="J97" s="195"/>
      <c r="K97" s="195"/>
      <c r="L97" s="195"/>
      <c r="M97" s="195"/>
      <c r="N97" s="195"/>
      <c r="O97" s="195"/>
    </row>
    <row r="98" spans="1:55" ht="13.65" customHeight="1">
      <c r="A98" s="262" t="s">
        <v>242</v>
      </c>
      <c r="B98" s="298" t="s">
        <v>303</v>
      </c>
      <c r="C98" s="257"/>
      <c r="D98" s="257"/>
      <c r="E98" s="249" t="s">
        <v>312</v>
      </c>
      <c r="F98" s="268"/>
      <c r="G98" s="269"/>
      <c r="H98" s="195"/>
      <c r="I98" s="195"/>
      <c r="J98" s="195"/>
      <c r="K98" s="195"/>
      <c r="L98" s="195"/>
      <c r="M98" s="195"/>
      <c r="N98" s="195"/>
      <c r="O98" s="195"/>
    </row>
    <row r="99" spans="1:55" ht="13.65" customHeight="1">
      <c r="A99" s="262" t="s">
        <v>242</v>
      </c>
      <c r="B99" s="299" t="s">
        <v>313</v>
      </c>
      <c r="C99" s="297" t="s">
        <v>314</v>
      </c>
      <c r="D99" s="297" t="s">
        <v>315</v>
      </c>
      <c r="E99" s="63" t="s">
        <v>15</v>
      </c>
      <c r="F99" s="268"/>
      <c r="G99" s="269"/>
      <c r="H99" s="195"/>
      <c r="I99" s="195"/>
      <c r="J99" s="195"/>
      <c r="K99" s="195"/>
      <c r="L99" s="195"/>
      <c r="M99" s="195"/>
      <c r="N99" s="195"/>
      <c r="O99" s="195"/>
    </row>
    <row r="100" spans="1:55" ht="13.65" customHeight="1">
      <c r="A100" s="262" t="s">
        <v>242</v>
      </c>
      <c r="B100" s="299" t="s">
        <v>313</v>
      </c>
      <c r="C100" s="256" t="s">
        <v>316</v>
      </c>
      <c r="D100" s="297" t="s">
        <v>315</v>
      </c>
      <c r="E100" s="63" t="s">
        <v>317</v>
      </c>
      <c r="F100" s="268" t="s">
        <v>212</v>
      </c>
      <c r="G100" s="269" t="s">
        <v>217</v>
      </c>
      <c r="H100" s="195"/>
      <c r="I100" s="195"/>
      <c r="J100" s="195"/>
      <c r="K100" s="195"/>
      <c r="L100" s="195"/>
      <c r="M100" s="195"/>
      <c r="N100" s="195"/>
      <c r="O100" s="195"/>
    </row>
    <row r="101" spans="1:55" ht="13.65" customHeight="1">
      <c r="A101" s="262" t="s">
        <v>242</v>
      </c>
      <c r="B101" s="299" t="s">
        <v>313</v>
      </c>
      <c r="C101" s="256" t="s">
        <v>316</v>
      </c>
      <c r="D101" s="297" t="s">
        <v>315</v>
      </c>
      <c r="E101" s="63" t="s">
        <v>318</v>
      </c>
      <c r="F101" s="268" t="s">
        <v>212</v>
      </c>
      <c r="G101" s="269" t="s">
        <v>217</v>
      </c>
      <c r="H101" s="195"/>
      <c r="I101" s="195"/>
      <c r="J101" s="195"/>
      <c r="K101" s="195"/>
      <c r="L101" s="195"/>
      <c r="M101" s="195"/>
      <c r="N101" s="195"/>
      <c r="O101" s="195"/>
    </row>
    <row r="102" spans="1:55" ht="13.65" customHeight="1">
      <c r="A102" s="262" t="s">
        <v>242</v>
      </c>
      <c r="B102" s="299" t="s">
        <v>313</v>
      </c>
      <c r="C102" s="256" t="s">
        <v>316</v>
      </c>
      <c r="D102" s="297" t="s">
        <v>315</v>
      </c>
      <c r="E102" s="63" t="s">
        <v>319</v>
      </c>
      <c r="F102" s="268"/>
      <c r="G102" s="269" t="s">
        <v>217</v>
      </c>
      <c r="H102" s="195"/>
      <c r="I102" s="195"/>
      <c r="J102" s="195"/>
      <c r="K102" s="195"/>
      <c r="L102" s="195"/>
      <c r="M102" s="195"/>
      <c r="N102" s="195"/>
      <c r="O102" s="195"/>
    </row>
    <row r="103" spans="1:55" ht="13.65" customHeight="1">
      <c r="A103" s="262" t="s">
        <v>242</v>
      </c>
      <c r="B103" s="299" t="s">
        <v>313</v>
      </c>
      <c r="C103" s="256" t="s">
        <v>320</v>
      </c>
      <c r="D103" s="297" t="s">
        <v>315</v>
      </c>
      <c r="E103" s="63" t="s">
        <v>321</v>
      </c>
      <c r="F103" s="268" t="s">
        <v>212</v>
      </c>
      <c r="G103" s="269" t="s">
        <v>220</v>
      </c>
      <c r="H103" s="195"/>
      <c r="I103" s="195"/>
      <c r="J103" s="195"/>
      <c r="K103" s="195"/>
      <c r="L103" s="195"/>
      <c r="M103" s="195"/>
      <c r="N103" s="195"/>
      <c r="O103" s="195"/>
    </row>
    <row r="104" spans="1:55" ht="13.65" customHeight="1">
      <c r="A104" s="262" t="s">
        <v>242</v>
      </c>
      <c r="B104" s="299" t="s">
        <v>313</v>
      </c>
      <c r="C104" s="256" t="s">
        <v>320</v>
      </c>
      <c r="D104" s="297" t="s">
        <v>315</v>
      </c>
      <c r="E104" s="63" t="s">
        <v>322</v>
      </c>
      <c r="F104" s="268"/>
      <c r="G104" s="269" t="s">
        <v>220</v>
      </c>
      <c r="H104" s="195"/>
      <c r="I104" s="195"/>
      <c r="J104" s="195"/>
      <c r="K104" s="195"/>
      <c r="L104" s="195"/>
      <c r="M104" s="195"/>
      <c r="N104" s="195"/>
      <c r="O104" s="195"/>
    </row>
    <row r="105" spans="1:55" ht="13.65" customHeight="1">
      <c r="A105" s="262" t="s">
        <v>242</v>
      </c>
      <c r="B105" s="299" t="s">
        <v>313</v>
      </c>
      <c r="C105" s="256" t="s">
        <v>320</v>
      </c>
      <c r="D105" s="297" t="s">
        <v>315</v>
      </c>
      <c r="E105" s="63" t="s">
        <v>323</v>
      </c>
      <c r="F105" s="268" t="s">
        <v>212</v>
      </c>
      <c r="G105" s="269" t="s">
        <v>217</v>
      </c>
      <c r="H105" s="195"/>
      <c r="I105" s="195"/>
      <c r="J105" s="195"/>
      <c r="K105" s="195"/>
      <c r="L105" s="195"/>
      <c r="M105" s="195"/>
      <c r="N105" s="195"/>
      <c r="O105" s="195"/>
    </row>
    <row r="106" spans="1:55" ht="13.65" customHeight="1">
      <c r="A106" s="262" t="s">
        <v>242</v>
      </c>
      <c r="B106" s="299" t="s">
        <v>313</v>
      </c>
      <c r="C106" s="256" t="s">
        <v>324</v>
      </c>
      <c r="D106" s="297" t="s">
        <v>315</v>
      </c>
      <c r="E106" s="256" t="s">
        <v>324</v>
      </c>
      <c r="F106" s="120"/>
      <c r="G106" s="119"/>
      <c r="H106" s="195"/>
      <c r="I106" s="195"/>
      <c r="J106" s="195"/>
      <c r="K106" s="195"/>
      <c r="L106" s="195"/>
      <c r="M106" s="195"/>
      <c r="N106" s="195"/>
      <c r="O106" s="195"/>
    </row>
    <row r="107" spans="1:55" ht="13.65" customHeight="1">
      <c r="A107" s="262" t="s">
        <v>325</v>
      </c>
      <c r="B107" s="296" t="s">
        <v>326</v>
      </c>
      <c r="C107" s="260"/>
      <c r="D107" s="260" t="s">
        <v>327</v>
      </c>
      <c r="E107" s="259" t="s">
        <v>328</v>
      </c>
      <c r="F107" s="268" t="s">
        <v>225</v>
      </c>
      <c r="G107" s="269" t="s">
        <v>217</v>
      </c>
      <c r="H107" s="195"/>
      <c r="I107" s="195"/>
      <c r="J107" s="195"/>
      <c r="K107" s="195"/>
      <c r="L107" s="195"/>
      <c r="M107" s="195"/>
      <c r="N107" s="195"/>
      <c r="O107" s="195"/>
    </row>
    <row r="108" spans="1:55" ht="13.65" customHeight="1">
      <c r="A108" s="262" t="s">
        <v>325</v>
      </c>
      <c r="B108" s="297" t="s">
        <v>329</v>
      </c>
      <c r="C108" s="281"/>
      <c r="D108" s="256" t="s">
        <v>330</v>
      </c>
      <c r="E108" s="294" t="s">
        <v>331</v>
      </c>
      <c r="F108" s="295"/>
      <c r="G108" s="295"/>
      <c r="H108" s="295"/>
      <c r="I108" s="295"/>
      <c r="J108" s="295"/>
      <c r="K108" s="295"/>
      <c r="L108" s="295"/>
      <c r="M108" s="295"/>
      <c r="N108" s="295"/>
      <c r="O108" s="43"/>
    </row>
    <row r="109" spans="1:55" ht="13.65" customHeight="1">
      <c r="A109" s="262" t="s">
        <v>325</v>
      </c>
      <c r="B109" s="297" t="s">
        <v>329</v>
      </c>
      <c r="C109" s="281"/>
      <c r="D109" s="256" t="s">
        <v>330</v>
      </c>
      <c r="E109" s="294" t="s">
        <v>332</v>
      </c>
      <c r="F109" s="295"/>
      <c r="G109" s="295"/>
      <c r="H109" s="295"/>
      <c r="I109" s="295"/>
      <c r="J109" s="295"/>
      <c r="K109" s="295"/>
      <c r="L109" s="295"/>
      <c r="M109" s="295"/>
      <c r="N109" s="295"/>
      <c r="O109" s="43"/>
    </row>
    <row r="110" spans="1:55" ht="13.65" customHeight="1">
      <c r="A110" s="262" t="s">
        <v>325</v>
      </c>
      <c r="B110" s="297" t="s">
        <v>333</v>
      </c>
      <c r="C110" s="281"/>
      <c r="D110" s="256" t="s">
        <v>330</v>
      </c>
      <c r="E110" s="294" t="s">
        <v>334</v>
      </c>
      <c r="F110" s="295"/>
      <c r="G110" s="295"/>
      <c r="H110" s="295"/>
      <c r="I110" s="295"/>
      <c r="J110" s="295"/>
      <c r="K110" s="295"/>
      <c r="L110" s="295"/>
      <c r="M110" s="295"/>
      <c r="N110" s="295"/>
      <c r="O110" s="43"/>
      <c r="P110" s="302" t="s">
        <v>335</v>
      </c>
      <c r="BC110" s="147" t="s">
        <v>335</v>
      </c>
    </row>
    <row r="111" spans="1:55" ht="13.65" customHeight="1">
      <c r="A111" s="262" t="s">
        <v>325</v>
      </c>
      <c r="B111" s="297" t="s">
        <v>333</v>
      </c>
      <c r="C111" s="281"/>
      <c r="D111" s="256" t="s">
        <v>330</v>
      </c>
      <c r="E111" s="294" t="s">
        <v>336</v>
      </c>
      <c r="F111" s="295"/>
      <c r="G111" s="295"/>
      <c r="H111" s="295"/>
      <c r="I111" s="295"/>
      <c r="J111" s="295"/>
      <c r="K111" s="295"/>
      <c r="L111" s="295"/>
      <c r="M111" s="295"/>
      <c r="N111" s="295"/>
      <c r="O111" s="43"/>
      <c r="P111" s="302" t="s">
        <v>335</v>
      </c>
      <c r="BC111" s="147" t="s">
        <v>335</v>
      </c>
    </row>
    <row r="112" spans="1:55" ht="13.65" customHeight="1">
      <c r="A112" s="262" t="s">
        <v>325</v>
      </c>
      <c r="B112" s="297" t="s">
        <v>333</v>
      </c>
      <c r="C112" s="281"/>
      <c r="D112" s="256" t="s">
        <v>330</v>
      </c>
      <c r="E112" s="294" t="s">
        <v>337</v>
      </c>
      <c r="F112" s="295"/>
      <c r="G112" s="295"/>
      <c r="H112" s="295"/>
      <c r="I112" s="295"/>
      <c r="J112" s="295"/>
      <c r="K112" s="295"/>
      <c r="L112" s="295"/>
      <c r="M112" s="295"/>
      <c r="N112" s="295"/>
      <c r="O112" s="43"/>
    </row>
    <row r="113" spans="1:55" ht="13.65" customHeight="1">
      <c r="A113" s="262" t="s">
        <v>325</v>
      </c>
      <c r="B113" s="297" t="s">
        <v>333</v>
      </c>
      <c r="C113" s="281"/>
      <c r="D113" s="256" t="s">
        <v>330</v>
      </c>
      <c r="E113" s="294" t="s">
        <v>338</v>
      </c>
      <c r="F113" s="295"/>
      <c r="G113" s="295"/>
      <c r="H113" s="295"/>
      <c r="I113" s="295"/>
      <c r="J113" s="295"/>
      <c r="K113" s="295"/>
      <c r="L113" s="295"/>
      <c r="M113" s="295"/>
      <c r="N113" s="295"/>
      <c r="O113" s="43"/>
      <c r="P113" s="302" t="s">
        <v>335</v>
      </c>
      <c r="BC113" s="147" t="s">
        <v>335</v>
      </c>
    </row>
    <row r="114" spans="1:55" ht="13.65" customHeight="1">
      <c r="A114" s="262" t="s">
        <v>325</v>
      </c>
      <c r="B114" s="297" t="s">
        <v>333</v>
      </c>
      <c r="C114" s="281"/>
      <c r="D114" s="256" t="s">
        <v>330</v>
      </c>
      <c r="E114" s="294" t="s">
        <v>339</v>
      </c>
      <c r="F114" s="295"/>
      <c r="G114" s="295"/>
      <c r="H114" s="295"/>
      <c r="I114" s="295"/>
      <c r="J114" s="295"/>
      <c r="K114" s="295"/>
      <c r="L114" s="295"/>
      <c r="M114" s="295"/>
      <c r="N114" s="295"/>
      <c r="O114" s="43"/>
      <c r="P114" s="302" t="s">
        <v>335</v>
      </c>
      <c r="BC114" s="147" t="s">
        <v>335</v>
      </c>
    </row>
    <row r="115" spans="1:55" ht="13.65" customHeight="1">
      <c r="A115" s="262" t="s">
        <v>325</v>
      </c>
      <c r="B115" s="297" t="s">
        <v>333</v>
      </c>
      <c r="C115" s="281"/>
      <c r="D115" s="256" t="s">
        <v>330</v>
      </c>
      <c r="E115" s="294" t="s">
        <v>340</v>
      </c>
      <c r="F115" s="295"/>
      <c r="G115" s="295"/>
      <c r="H115" s="295"/>
      <c r="I115" s="295"/>
      <c r="J115" s="295"/>
      <c r="K115" s="295"/>
      <c r="L115" s="295"/>
      <c r="M115" s="295"/>
      <c r="N115" s="295"/>
      <c r="O115" s="43"/>
      <c r="P115" s="302" t="s">
        <v>335</v>
      </c>
      <c r="BC115" s="147" t="s">
        <v>335</v>
      </c>
    </row>
    <row r="116" spans="1:55" ht="13.65" customHeight="1">
      <c r="A116" s="262" t="s">
        <v>325</v>
      </c>
      <c r="B116" s="297" t="s">
        <v>333</v>
      </c>
      <c r="C116" s="281"/>
      <c r="D116" s="256" t="s">
        <v>330</v>
      </c>
      <c r="E116" s="294" t="s">
        <v>341</v>
      </c>
      <c r="F116" s="295"/>
      <c r="G116" s="295"/>
      <c r="H116" s="295"/>
      <c r="I116" s="295"/>
      <c r="J116" s="295"/>
      <c r="K116" s="295"/>
      <c r="L116" s="295"/>
      <c r="M116" s="295"/>
      <c r="N116" s="295"/>
      <c r="O116" s="43"/>
      <c r="P116" s="302" t="s">
        <v>335</v>
      </c>
      <c r="BC116" s="147" t="s">
        <v>335</v>
      </c>
    </row>
    <row r="117" spans="1:55" ht="13.65" customHeight="1">
      <c r="A117" s="262" t="s">
        <v>325</v>
      </c>
      <c r="B117" s="297" t="s">
        <v>342</v>
      </c>
      <c r="C117" s="281"/>
      <c r="D117" s="256" t="s">
        <v>330</v>
      </c>
      <c r="E117" s="294" t="s">
        <v>343</v>
      </c>
      <c r="F117" s="295"/>
      <c r="G117" s="295"/>
      <c r="H117" s="295"/>
      <c r="I117" s="295"/>
      <c r="J117" s="295"/>
      <c r="K117" s="295"/>
      <c r="L117" s="295"/>
      <c r="M117" s="295"/>
      <c r="N117" s="295"/>
      <c r="O117" s="43"/>
      <c r="P117" s="302" t="s">
        <v>335</v>
      </c>
      <c r="BC117" s="147" t="s">
        <v>335</v>
      </c>
    </row>
    <row r="118" spans="1:55" ht="13.65" customHeight="1">
      <c r="A118" s="262" t="s">
        <v>325</v>
      </c>
      <c r="B118" s="297" t="s">
        <v>342</v>
      </c>
      <c r="C118" s="281"/>
      <c r="D118" s="256" t="s">
        <v>330</v>
      </c>
      <c r="E118" s="294" t="s">
        <v>344</v>
      </c>
      <c r="F118" s="295"/>
      <c r="G118" s="295"/>
      <c r="H118" s="295"/>
      <c r="I118" s="295"/>
      <c r="J118" s="295"/>
      <c r="K118" s="295"/>
      <c r="L118" s="295"/>
      <c r="M118" s="295"/>
      <c r="N118" s="295"/>
      <c r="O118" s="43"/>
      <c r="P118" s="302" t="s">
        <v>335</v>
      </c>
      <c r="BC118" s="147" t="s">
        <v>335</v>
      </c>
    </row>
    <row r="119" spans="1:55" ht="13.65" customHeight="1">
      <c r="A119" s="262" t="s">
        <v>325</v>
      </c>
      <c r="B119" s="297" t="s">
        <v>342</v>
      </c>
      <c r="C119" s="281"/>
      <c r="D119" s="256" t="s">
        <v>330</v>
      </c>
      <c r="E119" s="294" t="s">
        <v>345</v>
      </c>
      <c r="F119" s="295"/>
      <c r="G119" s="295"/>
      <c r="H119" s="295"/>
      <c r="I119" s="295"/>
      <c r="J119" s="295"/>
      <c r="K119" s="295"/>
      <c r="L119" s="295"/>
      <c r="M119" s="295"/>
      <c r="N119" s="295"/>
      <c r="O119" s="43"/>
      <c r="P119" s="302" t="s">
        <v>335</v>
      </c>
      <c r="BC119" s="147" t="s">
        <v>335</v>
      </c>
    </row>
    <row r="120" spans="1:55" ht="13.65" customHeight="1">
      <c r="A120" s="262" t="s">
        <v>325</v>
      </c>
      <c r="B120" s="297" t="s">
        <v>346</v>
      </c>
      <c r="C120" s="281"/>
      <c r="D120" s="256" t="s">
        <v>330</v>
      </c>
      <c r="E120" s="294" t="s">
        <v>347</v>
      </c>
      <c r="F120" s="295"/>
      <c r="G120" s="295"/>
      <c r="H120" s="295"/>
      <c r="I120" s="295"/>
      <c r="J120" s="295"/>
      <c r="K120" s="295"/>
      <c r="L120" s="295"/>
      <c r="M120" s="295"/>
      <c r="N120" s="295"/>
      <c r="O120" s="43"/>
      <c r="P120" s="302" t="s">
        <v>335</v>
      </c>
      <c r="BC120" s="147" t="s">
        <v>335</v>
      </c>
    </row>
    <row r="121" spans="1:55" ht="13.65" customHeight="1">
      <c r="A121" s="262" t="s">
        <v>325</v>
      </c>
      <c r="B121" s="297" t="s">
        <v>348</v>
      </c>
      <c r="C121" s="281"/>
      <c r="D121" s="256" t="s">
        <v>330</v>
      </c>
      <c r="E121" s="294" t="s">
        <v>349</v>
      </c>
      <c r="F121" s="295"/>
      <c r="G121" s="295"/>
      <c r="H121" s="295"/>
      <c r="I121" s="295"/>
      <c r="J121" s="295"/>
      <c r="K121" s="295"/>
      <c r="L121" s="295"/>
      <c r="M121" s="295"/>
      <c r="N121" s="295"/>
      <c r="O121" s="43"/>
      <c r="P121" s="302" t="s">
        <v>335</v>
      </c>
      <c r="BC121" s="147" t="s">
        <v>335</v>
      </c>
    </row>
    <row r="122" spans="1:55" ht="13.65" customHeight="1">
      <c r="A122" s="262" t="s">
        <v>325</v>
      </c>
      <c r="B122" s="297" t="s">
        <v>348</v>
      </c>
      <c r="C122" s="281"/>
      <c r="D122" s="256" t="s">
        <v>330</v>
      </c>
      <c r="E122" s="294" t="s">
        <v>350</v>
      </c>
      <c r="F122" s="295"/>
      <c r="G122" s="295"/>
      <c r="H122" s="295"/>
      <c r="I122" s="295"/>
      <c r="J122" s="295"/>
      <c r="K122" s="295"/>
      <c r="L122" s="295"/>
      <c r="M122" s="295"/>
      <c r="N122" s="295"/>
      <c r="O122" s="43"/>
    </row>
    <row r="123" spans="1:55" ht="13.65" customHeight="1">
      <c r="A123" s="262" t="s">
        <v>325</v>
      </c>
      <c r="B123" s="297" t="s">
        <v>348</v>
      </c>
      <c r="C123" s="281"/>
      <c r="D123" s="256" t="s">
        <v>330</v>
      </c>
      <c r="E123" s="294" t="s">
        <v>351</v>
      </c>
      <c r="F123" s="295"/>
      <c r="G123" s="295"/>
      <c r="H123" s="295"/>
      <c r="I123" s="295"/>
      <c r="J123" s="295"/>
      <c r="K123" s="295"/>
      <c r="L123" s="295"/>
      <c r="M123" s="295"/>
      <c r="N123" s="295"/>
      <c r="O123" s="43"/>
    </row>
    <row r="124" spans="1:55" ht="13.65" customHeight="1">
      <c r="A124" s="262" t="s">
        <v>325</v>
      </c>
      <c r="B124" s="297" t="s">
        <v>348</v>
      </c>
      <c r="C124" s="281"/>
      <c r="D124" s="256" t="s">
        <v>330</v>
      </c>
      <c r="E124" s="294" t="s">
        <v>352</v>
      </c>
      <c r="F124" s="295"/>
      <c r="G124" s="295"/>
      <c r="H124" s="295"/>
      <c r="I124" s="295"/>
      <c r="J124" s="295"/>
      <c r="K124" s="295"/>
      <c r="L124" s="295"/>
      <c r="M124" s="295"/>
      <c r="N124" s="295"/>
      <c r="O124" s="43"/>
    </row>
    <row r="125" spans="1:55" ht="13.65" customHeight="1">
      <c r="A125" s="262" t="s">
        <v>325</v>
      </c>
      <c r="B125" s="297" t="s">
        <v>348</v>
      </c>
      <c r="C125" s="281"/>
      <c r="D125" s="256" t="s">
        <v>330</v>
      </c>
      <c r="E125" s="294" t="s">
        <v>353</v>
      </c>
      <c r="F125" s="295"/>
      <c r="G125" s="295"/>
      <c r="H125" s="295"/>
      <c r="I125" s="295"/>
      <c r="J125" s="295"/>
      <c r="K125" s="295"/>
      <c r="L125" s="295"/>
      <c r="M125" s="295"/>
      <c r="N125" s="295"/>
      <c r="O125" s="43"/>
    </row>
    <row r="126" spans="1:55" ht="13.65" customHeight="1">
      <c r="A126" s="262" t="s">
        <v>325</v>
      </c>
      <c r="B126" s="297" t="s">
        <v>348</v>
      </c>
      <c r="C126" s="281"/>
      <c r="D126" s="256" t="s">
        <v>330</v>
      </c>
      <c r="E126" s="294" t="s">
        <v>354</v>
      </c>
      <c r="F126" s="295"/>
      <c r="G126" s="295"/>
      <c r="H126" s="295"/>
      <c r="I126" s="295"/>
      <c r="J126" s="295"/>
      <c r="K126" s="295"/>
      <c r="L126" s="295"/>
      <c r="M126" s="295"/>
      <c r="N126" s="295"/>
      <c r="O126" s="43"/>
      <c r="P126" s="302" t="s">
        <v>335</v>
      </c>
      <c r="BC126" s="147" t="s">
        <v>335</v>
      </c>
    </row>
    <row r="127" spans="1:55" ht="13.65" customHeight="1">
      <c r="A127" s="262" t="s">
        <v>325</v>
      </c>
      <c r="B127" s="297" t="s">
        <v>348</v>
      </c>
      <c r="C127" s="281"/>
      <c r="D127" s="256" t="s">
        <v>330</v>
      </c>
      <c r="E127" s="294" t="s">
        <v>355</v>
      </c>
      <c r="F127" s="295"/>
      <c r="G127" s="295"/>
      <c r="H127" s="295"/>
      <c r="I127" s="295"/>
      <c r="J127" s="295"/>
      <c r="K127" s="295"/>
      <c r="L127" s="295"/>
      <c r="M127" s="295"/>
      <c r="N127" s="295"/>
      <c r="O127" s="43"/>
      <c r="P127" s="302" t="s">
        <v>356</v>
      </c>
      <c r="BC127" s="147" t="s">
        <v>356</v>
      </c>
    </row>
    <row r="128" spans="1:55" ht="13.65" customHeight="1">
      <c r="A128" s="262" t="s">
        <v>325</v>
      </c>
      <c r="B128" s="297" t="s">
        <v>348</v>
      </c>
      <c r="C128" s="281"/>
      <c r="D128" s="256" t="s">
        <v>330</v>
      </c>
      <c r="E128" s="294" t="s">
        <v>48</v>
      </c>
      <c r="F128" s="295"/>
      <c r="G128" s="295"/>
      <c r="H128" s="295"/>
      <c r="I128" s="295"/>
      <c r="J128" s="295"/>
      <c r="K128" s="295"/>
      <c r="L128" s="295"/>
      <c r="M128" s="295"/>
      <c r="N128" s="295"/>
      <c r="O128" s="43"/>
      <c r="P128" s="302" t="s">
        <v>335</v>
      </c>
      <c r="BC128" s="147" t="s">
        <v>335</v>
      </c>
    </row>
    <row r="129" spans="1:55" ht="13.65" customHeight="1">
      <c r="A129" s="262" t="s">
        <v>325</v>
      </c>
      <c r="B129" s="297" t="s">
        <v>357</v>
      </c>
      <c r="C129" s="281"/>
      <c r="D129" s="256" t="s">
        <v>330</v>
      </c>
      <c r="E129" s="294" t="s">
        <v>358</v>
      </c>
      <c r="F129" s="295"/>
      <c r="G129" s="295"/>
      <c r="H129" s="295"/>
      <c r="I129" s="295"/>
      <c r="J129" s="295"/>
      <c r="K129" s="295"/>
      <c r="L129" s="295"/>
      <c r="M129" s="295"/>
      <c r="N129" s="295"/>
      <c r="O129" s="43"/>
    </row>
    <row r="130" spans="1:55" ht="13.65" customHeight="1">
      <c r="A130" s="262" t="s">
        <v>325</v>
      </c>
      <c r="B130" s="297" t="s">
        <v>359</v>
      </c>
      <c r="C130" s="281"/>
      <c r="D130" s="256" t="s">
        <v>330</v>
      </c>
      <c r="E130" s="294" t="s">
        <v>360</v>
      </c>
      <c r="F130" s="295"/>
      <c r="G130" s="295"/>
      <c r="H130" s="295"/>
      <c r="I130" s="295"/>
      <c r="J130" s="295"/>
      <c r="K130" s="295"/>
      <c r="L130" s="295"/>
      <c r="M130" s="295"/>
      <c r="N130" s="295"/>
      <c r="O130" s="43"/>
      <c r="P130" s="302" t="s">
        <v>335</v>
      </c>
      <c r="BC130" s="147" t="s">
        <v>335</v>
      </c>
    </row>
    <row r="131" spans="1:55" ht="13.65" customHeight="1">
      <c r="A131" s="262" t="s">
        <v>325</v>
      </c>
      <c r="B131" s="297" t="s">
        <v>361</v>
      </c>
      <c r="C131" s="281"/>
      <c r="D131" s="256" t="s">
        <v>330</v>
      </c>
      <c r="E131" s="294" t="s">
        <v>362</v>
      </c>
      <c r="F131" s="295"/>
      <c r="G131" s="295"/>
      <c r="H131" s="295"/>
      <c r="I131" s="295"/>
      <c r="J131" s="295"/>
      <c r="K131" s="295"/>
      <c r="L131" s="295"/>
      <c r="M131" s="295"/>
      <c r="N131" s="295"/>
      <c r="O131" s="43"/>
      <c r="P131" s="302" t="s">
        <v>335</v>
      </c>
      <c r="BC131" s="147" t="s">
        <v>335</v>
      </c>
    </row>
    <row r="132" spans="1:55" ht="13.65" customHeight="1">
      <c r="A132" s="262" t="s">
        <v>325</v>
      </c>
      <c r="B132" s="297" t="s">
        <v>361</v>
      </c>
      <c r="C132" s="281"/>
      <c r="D132" s="256" t="s">
        <v>330</v>
      </c>
      <c r="E132" s="294" t="s">
        <v>363</v>
      </c>
      <c r="F132" s="295"/>
      <c r="G132" s="295"/>
      <c r="H132" s="295"/>
      <c r="I132" s="295"/>
      <c r="J132" s="295"/>
      <c r="K132" s="295"/>
      <c r="L132" s="295"/>
      <c r="M132" s="295"/>
      <c r="N132" s="295"/>
      <c r="O132" s="43"/>
    </row>
    <row r="133" spans="1:55" ht="13.65" customHeight="1">
      <c r="A133" s="262" t="s">
        <v>325</v>
      </c>
      <c r="B133" s="297" t="s">
        <v>361</v>
      </c>
      <c r="C133" s="281"/>
      <c r="D133" s="256" t="s">
        <v>330</v>
      </c>
      <c r="E133" s="294" t="s">
        <v>364</v>
      </c>
      <c r="F133" s="295"/>
      <c r="G133" s="295"/>
      <c r="H133" s="295"/>
      <c r="I133" s="295"/>
      <c r="J133" s="295"/>
      <c r="K133" s="295"/>
      <c r="L133" s="295"/>
      <c r="M133" s="295"/>
      <c r="N133" s="295"/>
      <c r="O133" s="43"/>
    </row>
    <row r="134" spans="1:55" ht="13.65" customHeight="1">
      <c r="A134" s="262" t="s">
        <v>325</v>
      </c>
      <c r="B134" s="297" t="s">
        <v>361</v>
      </c>
      <c r="C134" s="281"/>
      <c r="D134" s="256" t="s">
        <v>330</v>
      </c>
      <c r="E134" s="294" t="s">
        <v>365</v>
      </c>
      <c r="F134" s="295"/>
      <c r="G134" s="295"/>
      <c r="H134" s="295"/>
      <c r="I134" s="295"/>
      <c r="J134" s="295"/>
      <c r="K134" s="295"/>
      <c r="L134" s="295"/>
      <c r="M134" s="295"/>
      <c r="N134" s="295"/>
      <c r="O134" s="43"/>
      <c r="P134" s="302" t="s">
        <v>335</v>
      </c>
      <c r="BC134" s="147" t="s">
        <v>335</v>
      </c>
    </row>
    <row r="135" spans="1:55" ht="13.65" customHeight="1">
      <c r="A135" s="262" t="s">
        <v>325</v>
      </c>
      <c r="B135" s="297" t="s">
        <v>361</v>
      </c>
      <c r="C135" s="281"/>
      <c r="D135" s="256" t="s">
        <v>330</v>
      </c>
      <c r="E135" s="294" t="s">
        <v>366</v>
      </c>
      <c r="F135" s="295"/>
      <c r="G135" s="295"/>
      <c r="H135" s="295"/>
      <c r="I135" s="295"/>
      <c r="J135" s="295"/>
      <c r="K135" s="295"/>
      <c r="L135" s="295"/>
      <c r="M135" s="295"/>
      <c r="N135" s="295"/>
      <c r="O135" s="43"/>
      <c r="P135" s="302" t="s">
        <v>335</v>
      </c>
      <c r="BC135" s="147" t="s">
        <v>335</v>
      </c>
    </row>
    <row r="136" spans="1:55" ht="13.65" customHeight="1">
      <c r="A136" s="262" t="s">
        <v>325</v>
      </c>
      <c r="B136" s="297" t="s">
        <v>361</v>
      </c>
      <c r="C136" s="281"/>
      <c r="D136" s="256" t="s">
        <v>330</v>
      </c>
      <c r="E136" s="294" t="s">
        <v>367</v>
      </c>
      <c r="F136" s="295"/>
      <c r="G136" s="295"/>
      <c r="H136" s="295"/>
      <c r="I136" s="295"/>
      <c r="J136" s="295"/>
      <c r="K136" s="295"/>
      <c r="L136" s="295"/>
      <c r="M136" s="295"/>
      <c r="N136" s="295"/>
      <c r="O136" s="43"/>
      <c r="P136" s="302" t="s">
        <v>335</v>
      </c>
      <c r="BC136" s="147" t="s">
        <v>335</v>
      </c>
    </row>
    <row r="137" spans="1:55" ht="13.65" customHeight="1">
      <c r="A137" s="262" t="s">
        <v>325</v>
      </c>
      <c r="B137" s="297" t="s">
        <v>368</v>
      </c>
      <c r="C137" s="281"/>
      <c r="D137" s="256" t="s">
        <v>330</v>
      </c>
      <c r="E137" s="294" t="s">
        <v>369</v>
      </c>
      <c r="F137" s="295"/>
      <c r="G137" s="295"/>
      <c r="H137" s="295"/>
      <c r="I137" s="295"/>
      <c r="J137" s="295"/>
      <c r="K137" s="295"/>
      <c r="L137" s="295"/>
      <c r="M137" s="295"/>
      <c r="N137" s="295"/>
      <c r="O137" s="43"/>
      <c r="P137" s="302" t="s">
        <v>356</v>
      </c>
      <c r="BC137" s="147" t="s">
        <v>356</v>
      </c>
    </row>
    <row r="138" spans="1:55" ht="13.65" customHeight="1">
      <c r="A138" s="262" t="s">
        <v>325</v>
      </c>
      <c r="B138" s="297" t="s">
        <v>368</v>
      </c>
      <c r="C138" s="281"/>
      <c r="D138" s="256" t="s">
        <v>330</v>
      </c>
      <c r="E138" s="294" t="s">
        <v>370</v>
      </c>
      <c r="F138" s="295"/>
      <c r="G138" s="295"/>
      <c r="H138" s="295"/>
      <c r="I138" s="295"/>
      <c r="J138" s="295"/>
      <c r="K138" s="295"/>
      <c r="L138" s="295"/>
      <c r="M138" s="295"/>
      <c r="N138" s="295"/>
      <c r="O138" s="43"/>
      <c r="P138" s="302" t="s">
        <v>335</v>
      </c>
      <c r="BC138" s="147" t="s">
        <v>335</v>
      </c>
    </row>
    <row r="139" spans="1:55" ht="13.65" customHeight="1">
      <c r="A139" s="262" t="s">
        <v>325</v>
      </c>
      <c r="B139" s="297"/>
      <c r="C139" s="281"/>
      <c r="D139" s="256" t="s">
        <v>330</v>
      </c>
      <c r="E139" s="294" t="s">
        <v>371</v>
      </c>
      <c r="F139" s="295"/>
      <c r="G139" s="295"/>
      <c r="H139" s="295"/>
      <c r="I139" s="295"/>
      <c r="J139" s="295"/>
      <c r="K139" s="295"/>
      <c r="L139" s="295"/>
      <c r="M139" s="295"/>
      <c r="N139" s="295"/>
      <c r="O139" s="43"/>
      <c r="P139" s="302" t="s">
        <v>335</v>
      </c>
      <c r="BC139" s="147" t="s">
        <v>335</v>
      </c>
    </row>
    <row r="140" spans="1:55" ht="13.65" customHeight="1">
      <c r="A140" s="262" t="s">
        <v>325</v>
      </c>
      <c r="B140" s="297" t="s">
        <v>372</v>
      </c>
      <c r="C140" s="281"/>
      <c r="D140" s="256" t="s">
        <v>330</v>
      </c>
      <c r="E140" s="294" t="s">
        <v>373</v>
      </c>
      <c r="F140" s="295"/>
      <c r="G140" s="295"/>
      <c r="H140" s="295"/>
      <c r="I140" s="295"/>
      <c r="J140" s="295"/>
      <c r="K140" s="295"/>
      <c r="L140" s="295"/>
      <c r="M140" s="295"/>
      <c r="N140" s="295"/>
      <c r="O140" s="43"/>
    </row>
    <row r="141" spans="1:55" ht="13.65" customHeight="1">
      <c r="A141" s="262" t="s">
        <v>325</v>
      </c>
      <c r="B141" s="297" t="s">
        <v>372</v>
      </c>
      <c r="C141" s="281"/>
      <c r="D141" s="256" t="s">
        <v>330</v>
      </c>
      <c r="E141" s="294" t="s">
        <v>374</v>
      </c>
      <c r="F141" s="295"/>
      <c r="G141" s="295"/>
      <c r="H141" s="295"/>
      <c r="I141" s="295"/>
      <c r="J141" s="295"/>
      <c r="K141" s="295"/>
      <c r="L141" s="295"/>
      <c r="M141" s="295"/>
      <c r="N141" s="295"/>
      <c r="O141" s="43"/>
    </row>
    <row r="142" spans="1:55" ht="13.65" customHeight="1">
      <c r="A142" s="262" t="s">
        <v>325</v>
      </c>
      <c r="B142" s="297" t="s">
        <v>372</v>
      </c>
      <c r="C142" s="281"/>
      <c r="D142" s="256" t="s">
        <v>375</v>
      </c>
      <c r="E142" s="294" t="s">
        <v>376</v>
      </c>
      <c r="F142" s="295"/>
      <c r="G142" s="295"/>
      <c r="H142" s="295"/>
      <c r="I142" s="295"/>
      <c r="J142" s="295"/>
      <c r="K142" s="295"/>
      <c r="L142" s="295"/>
      <c r="M142" s="295"/>
      <c r="N142" s="295"/>
      <c r="O142" s="43"/>
    </row>
    <row r="143" spans="1:55" ht="13.65" customHeight="1">
      <c r="A143" s="262" t="s">
        <v>325</v>
      </c>
      <c r="B143" s="297" t="s">
        <v>372</v>
      </c>
      <c r="C143" s="281"/>
      <c r="D143" s="256" t="s">
        <v>375</v>
      </c>
      <c r="E143" s="294" t="s">
        <v>377</v>
      </c>
      <c r="F143" s="295"/>
      <c r="G143" s="295"/>
      <c r="H143" s="295"/>
      <c r="I143" s="295"/>
      <c r="J143" s="295"/>
      <c r="K143" s="295"/>
      <c r="L143" s="295"/>
      <c r="M143" s="295"/>
      <c r="N143" s="295"/>
      <c r="O143" s="43"/>
    </row>
    <row r="144" spans="1:55" ht="13.65" customHeight="1">
      <c r="A144" s="262" t="s">
        <v>325</v>
      </c>
      <c r="B144" s="297" t="s">
        <v>372</v>
      </c>
      <c r="C144" s="281"/>
      <c r="D144" s="256" t="s">
        <v>375</v>
      </c>
      <c r="E144" s="294" t="s">
        <v>378</v>
      </c>
      <c r="F144" s="295"/>
      <c r="G144" s="295"/>
      <c r="H144" s="295"/>
      <c r="I144" s="295"/>
      <c r="J144" s="295"/>
      <c r="K144" s="295"/>
      <c r="L144" s="295"/>
      <c r="M144" s="295"/>
      <c r="N144" s="295"/>
      <c r="O144" s="43"/>
    </row>
    <row r="145" spans="1:15" ht="13.65" customHeight="1">
      <c r="A145" s="262" t="s">
        <v>325</v>
      </c>
      <c r="B145" s="297" t="s">
        <v>372</v>
      </c>
      <c r="C145" s="281"/>
      <c r="D145" s="256" t="s">
        <v>375</v>
      </c>
      <c r="E145" s="294" t="s">
        <v>379</v>
      </c>
      <c r="F145" s="295"/>
      <c r="G145" s="295"/>
      <c r="H145" s="295"/>
      <c r="I145" s="295"/>
      <c r="J145" s="295"/>
      <c r="K145" s="295"/>
      <c r="L145" s="295"/>
      <c r="M145" s="295"/>
      <c r="N145" s="295"/>
      <c r="O145" s="43"/>
    </row>
    <row r="146" spans="1:15" ht="13.65" customHeight="1">
      <c r="A146" s="262" t="s">
        <v>325</v>
      </c>
      <c r="B146" s="297" t="s">
        <v>372</v>
      </c>
      <c r="C146" s="281"/>
      <c r="D146" s="256" t="s">
        <v>375</v>
      </c>
      <c r="E146" s="294" t="s">
        <v>380</v>
      </c>
      <c r="F146" s="295"/>
      <c r="G146" s="295"/>
      <c r="H146" s="295"/>
      <c r="I146" s="295"/>
      <c r="J146" s="295"/>
      <c r="K146" s="295"/>
      <c r="L146" s="295"/>
      <c r="M146" s="295"/>
      <c r="N146" s="295"/>
      <c r="O146" s="43"/>
    </row>
    <row r="147" spans="1:15" ht="13.65" customHeight="1">
      <c r="A147" s="262" t="s">
        <v>325</v>
      </c>
      <c r="B147" s="297" t="s">
        <v>372</v>
      </c>
      <c r="C147" s="281"/>
      <c r="D147" s="256" t="s">
        <v>375</v>
      </c>
      <c r="E147" s="294" t="s">
        <v>381</v>
      </c>
      <c r="F147" s="295"/>
      <c r="G147" s="295"/>
      <c r="H147" s="295"/>
      <c r="I147" s="295"/>
      <c r="J147" s="295"/>
      <c r="K147" s="295"/>
      <c r="L147" s="295"/>
      <c r="M147" s="295"/>
      <c r="N147" s="295"/>
      <c r="O147" s="43"/>
    </row>
    <row r="148" spans="1:15" ht="13.65" customHeight="1">
      <c r="A148" s="262" t="s">
        <v>325</v>
      </c>
      <c r="B148" s="297" t="s">
        <v>372</v>
      </c>
      <c r="C148" s="281"/>
      <c r="D148" s="256" t="s">
        <v>375</v>
      </c>
      <c r="E148" s="294" t="s">
        <v>382</v>
      </c>
      <c r="F148" s="295"/>
      <c r="G148" s="295"/>
      <c r="H148" s="295"/>
      <c r="I148" s="295"/>
      <c r="J148" s="295"/>
      <c r="K148" s="295"/>
      <c r="L148" s="295"/>
      <c r="M148" s="295"/>
      <c r="N148" s="295"/>
      <c r="O148" s="43"/>
    </row>
    <row r="149" spans="1:15" ht="13.65" customHeight="1">
      <c r="A149" s="262" t="s">
        <v>325</v>
      </c>
      <c r="B149" s="297" t="s">
        <v>372</v>
      </c>
      <c r="C149" s="281"/>
      <c r="D149" s="256" t="s">
        <v>375</v>
      </c>
      <c r="E149" s="294" t="s">
        <v>383</v>
      </c>
      <c r="F149" s="295"/>
      <c r="G149" s="295"/>
      <c r="H149" s="295"/>
      <c r="I149" s="295"/>
      <c r="J149" s="295"/>
      <c r="K149" s="295"/>
      <c r="L149" s="295"/>
      <c r="M149" s="295"/>
      <c r="N149" s="295"/>
      <c r="O149" s="43"/>
    </row>
    <row r="150" spans="1:15" ht="13.65" customHeight="1">
      <c r="A150" s="262" t="s">
        <v>325</v>
      </c>
      <c r="B150" s="297" t="s">
        <v>372</v>
      </c>
      <c r="C150" s="281"/>
      <c r="D150" s="256" t="s">
        <v>375</v>
      </c>
      <c r="E150" s="294" t="s">
        <v>384</v>
      </c>
      <c r="F150" s="295"/>
      <c r="G150" s="295"/>
      <c r="H150" s="295"/>
      <c r="I150" s="295"/>
      <c r="J150" s="295"/>
      <c r="K150" s="295"/>
      <c r="L150" s="295"/>
      <c r="M150" s="295"/>
      <c r="N150" s="295"/>
      <c r="O150" s="43"/>
    </row>
    <row r="151" spans="1:15" ht="13.65" customHeight="1">
      <c r="A151" s="262" t="s">
        <v>325</v>
      </c>
      <c r="B151" s="297" t="s">
        <v>372</v>
      </c>
      <c r="C151" s="281"/>
      <c r="D151" s="256" t="s">
        <v>375</v>
      </c>
      <c r="E151" s="294" t="s">
        <v>385</v>
      </c>
      <c r="F151" s="295"/>
      <c r="G151" s="295"/>
      <c r="H151" s="295"/>
      <c r="I151" s="295"/>
      <c r="J151" s="295"/>
      <c r="K151" s="295"/>
      <c r="L151" s="295"/>
      <c r="M151" s="295"/>
      <c r="N151" s="295"/>
      <c r="O151" s="43"/>
    </row>
    <row r="152" spans="1:15" ht="13.65" customHeight="1">
      <c r="A152" s="262" t="s">
        <v>325</v>
      </c>
      <c r="B152" s="297" t="s">
        <v>372</v>
      </c>
      <c r="C152" s="281"/>
      <c r="D152" s="256" t="s">
        <v>375</v>
      </c>
      <c r="E152" s="294" t="s">
        <v>386</v>
      </c>
      <c r="F152" s="295"/>
      <c r="G152" s="295"/>
      <c r="H152" s="295"/>
      <c r="I152" s="295"/>
      <c r="J152" s="295"/>
      <c r="K152" s="295"/>
      <c r="L152" s="295"/>
      <c r="M152" s="295"/>
      <c r="N152" s="295"/>
      <c r="O152" s="43"/>
    </row>
    <row r="153" spans="1:15" ht="13.65" customHeight="1">
      <c r="A153" s="262" t="s">
        <v>325</v>
      </c>
      <c r="B153" s="297" t="s">
        <v>372</v>
      </c>
      <c r="C153" s="281"/>
      <c r="D153" s="256" t="s">
        <v>375</v>
      </c>
      <c r="E153" s="294" t="s">
        <v>387</v>
      </c>
      <c r="F153" s="295"/>
      <c r="G153" s="295"/>
      <c r="H153" s="295"/>
      <c r="I153" s="295"/>
      <c r="J153" s="295"/>
      <c r="K153" s="295"/>
      <c r="L153" s="295"/>
      <c r="M153" s="295"/>
      <c r="N153" s="295"/>
      <c r="O153" s="43"/>
    </row>
    <row r="154" spans="1:15" ht="13.65" customHeight="1">
      <c r="A154" s="262" t="s">
        <v>325</v>
      </c>
      <c r="B154" s="297" t="s">
        <v>372</v>
      </c>
      <c r="C154" s="281"/>
      <c r="D154" s="256" t="s">
        <v>375</v>
      </c>
      <c r="E154" s="294" t="s">
        <v>388</v>
      </c>
      <c r="F154" s="295"/>
      <c r="G154" s="295"/>
      <c r="H154" s="295"/>
      <c r="I154" s="295"/>
      <c r="J154" s="295"/>
      <c r="K154" s="295"/>
      <c r="L154" s="295"/>
      <c r="M154" s="295"/>
      <c r="N154" s="295"/>
      <c r="O154" s="43"/>
    </row>
    <row r="155" spans="1:15" ht="13.65" customHeight="1">
      <c r="A155" s="262" t="s">
        <v>325</v>
      </c>
      <c r="B155" s="297" t="s">
        <v>372</v>
      </c>
      <c r="C155" s="281"/>
      <c r="D155" s="256" t="s">
        <v>375</v>
      </c>
      <c r="E155" s="294" t="s">
        <v>389</v>
      </c>
      <c r="F155" s="295"/>
      <c r="G155" s="295"/>
      <c r="H155" s="295"/>
      <c r="I155" s="295"/>
      <c r="J155" s="295"/>
      <c r="K155" s="295"/>
      <c r="L155" s="295"/>
      <c r="M155" s="295"/>
      <c r="N155" s="295"/>
      <c r="O155" s="43"/>
    </row>
    <row r="156" spans="1:15" ht="13.65" customHeight="1">
      <c r="A156" s="262" t="s">
        <v>325</v>
      </c>
      <c r="B156" s="297" t="s">
        <v>372</v>
      </c>
      <c r="C156" s="281"/>
      <c r="D156" s="256" t="s">
        <v>375</v>
      </c>
      <c r="E156" s="294" t="s">
        <v>390</v>
      </c>
      <c r="F156" s="295"/>
      <c r="G156" s="295"/>
      <c r="H156" s="295"/>
      <c r="I156" s="295"/>
      <c r="J156" s="295"/>
      <c r="K156" s="295"/>
      <c r="L156" s="295"/>
      <c r="M156" s="295"/>
      <c r="N156" s="295"/>
      <c r="O156" s="43"/>
    </row>
    <row r="157" spans="1:15" ht="13.65" customHeight="1">
      <c r="A157" s="262" t="s">
        <v>325</v>
      </c>
      <c r="B157" s="297" t="s">
        <v>372</v>
      </c>
      <c r="C157" s="281"/>
      <c r="D157" s="256" t="s">
        <v>375</v>
      </c>
      <c r="E157" s="294" t="s">
        <v>391</v>
      </c>
      <c r="F157" s="295"/>
      <c r="G157" s="295"/>
      <c r="H157" s="295"/>
      <c r="I157" s="295"/>
      <c r="J157" s="295"/>
      <c r="K157" s="295"/>
      <c r="L157" s="295"/>
      <c r="M157" s="295"/>
      <c r="N157" s="295"/>
      <c r="O157" s="43"/>
    </row>
    <row r="158" spans="1:15" ht="13.65" customHeight="1">
      <c r="A158" s="262" t="s">
        <v>325</v>
      </c>
      <c r="B158" s="297" t="s">
        <v>372</v>
      </c>
      <c r="C158" s="281"/>
      <c r="D158" s="256" t="s">
        <v>375</v>
      </c>
      <c r="E158" s="294" t="s">
        <v>392</v>
      </c>
      <c r="F158" s="295"/>
      <c r="G158" s="295"/>
      <c r="H158" s="295"/>
      <c r="I158" s="295"/>
      <c r="J158" s="295"/>
      <c r="K158" s="295"/>
      <c r="L158" s="295"/>
      <c r="M158" s="295"/>
      <c r="N158" s="295"/>
      <c r="O158" s="43"/>
    </row>
    <row r="159" spans="1:15" ht="13.65" customHeight="1">
      <c r="A159" s="262" t="s">
        <v>325</v>
      </c>
      <c r="B159" s="297" t="s">
        <v>372</v>
      </c>
      <c r="C159" s="281"/>
      <c r="D159" s="256" t="s">
        <v>375</v>
      </c>
      <c r="E159" s="294" t="s">
        <v>393</v>
      </c>
      <c r="F159" s="295"/>
      <c r="G159" s="295"/>
      <c r="H159" s="295"/>
      <c r="I159" s="295"/>
      <c r="J159" s="295"/>
      <c r="K159" s="295"/>
      <c r="L159" s="295"/>
      <c r="M159" s="295"/>
      <c r="N159" s="295"/>
      <c r="O159" s="43"/>
    </row>
    <row r="160" spans="1:15" ht="13.65" customHeight="1">
      <c r="A160" s="262" t="s">
        <v>325</v>
      </c>
      <c r="B160" s="297" t="s">
        <v>372</v>
      </c>
      <c r="C160" s="281"/>
      <c r="D160" s="256" t="s">
        <v>375</v>
      </c>
      <c r="E160" s="294" t="s">
        <v>394</v>
      </c>
      <c r="F160" s="295"/>
      <c r="G160" s="295"/>
      <c r="H160" s="295"/>
      <c r="I160" s="295"/>
      <c r="J160" s="295"/>
      <c r="K160" s="295"/>
      <c r="L160" s="295"/>
      <c r="M160" s="295"/>
      <c r="N160" s="295"/>
      <c r="O160" s="43"/>
    </row>
    <row r="161" spans="1:15" ht="13.65" customHeight="1">
      <c r="A161" s="262" t="s">
        <v>325</v>
      </c>
      <c r="B161" s="297" t="s">
        <v>372</v>
      </c>
      <c r="C161" s="281"/>
      <c r="D161" s="256" t="s">
        <v>375</v>
      </c>
      <c r="E161" s="294" t="s">
        <v>395</v>
      </c>
      <c r="F161" s="295"/>
      <c r="G161" s="295"/>
      <c r="H161" s="295"/>
      <c r="I161" s="295"/>
      <c r="J161" s="295"/>
      <c r="K161" s="295"/>
      <c r="L161" s="295"/>
      <c r="M161" s="295"/>
      <c r="N161" s="295"/>
      <c r="O161" s="43"/>
    </row>
    <row r="162" spans="1:15" ht="13.65" customHeight="1">
      <c r="A162" s="262" t="s">
        <v>325</v>
      </c>
      <c r="B162" s="297" t="s">
        <v>372</v>
      </c>
      <c r="C162" s="281"/>
      <c r="D162" s="256" t="s">
        <v>375</v>
      </c>
      <c r="E162" s="294" t="s">
        <v>396</v>
      </c>
      <c r="F162" s="295"/>
      <c r="G162" s="295"/>
      <c r="H162" s="295"/>
      <c r="I162" s="295"/>
      <c r="J162" s="295"/>
      <c r="K162" s="295"/>
      <c r="L162" s="295"/>
      <c r="M162" s="295"/>
      <c r="N162" s="295"/>
      <c r="O162" s="43"/>
    </row>
    <row r="163" spans="1:15" ht="13.65" customHeight="1">
      <c r="A163" s="262" t="s">
        <v>325</v>
      </c>
      <c r="B163" s="297" t="s">
        <v>372</v>
      </c>
      <c r="C163" s="281"/>
      <c r="D163" s="256" t="s">
        <v>375</v>
      </c>
      <c r="E163" s="294" t="s">
        <v>397</v>
      </c>
      <c r="F163" s="295"/>
      <c r="G163" s="295"/>
      <c r="H163" s="295"/>
      <c r="I163" s="295"/>
      <c r="J163" s="295"/>
      <c r="K163" s="295"/>
      <c r="L163" s="295"/>
      <c r="M163" s="295"/>
      <c r="N163" s="295"/>
      <c r="O163" s="43"/>
    </row>
    <row r="164" spans="1:15" ht="13.65" customHeight="1">
      <c r="A164" s="262" t="s">
        <v>325</v>
      </c>
      <c r="B164" s="297" t="s">
        <v>372</v>
      </c>
      <c r="C164" s="281"/>
      <c r="D164" s="256" t="s">
        <v>375</v>
      </c>
      <c r="E164" s="294" t="s">
        <v>398</v>
      </c>
      <c r="F164" s="295"/>
      <c r="G164" s="295"/>
      <c r="H164" s="295"/>
      <c r="I164" s="295"/>
      <c r="J164" s="295"/>
      <c r="K164" s="295"/>
      <c r="L164" s="295"/>
      <c r="M164" s="295"/>
      <c r="N164" s="295"/>
      <c r="O164" s="43"/>
    </row>
    <row r="165" spans="1:15" ht="13.65" customHeight="1">
      <c r="A165" s="262" t="s">
        <v>325</v>
      </c>
      <c r="B165" s="297" t="s">
        <v>372</v>
      </c>
      <c r="C165" s="281"/>
      <c r="D165" s="256" t="s">
        <v>375</v>
      </c>
      <c r="E165" s="294" t="s">
        <v>399</v>
      </c>
      <c r="F165" s="295"/>
      <c r="G165" s="295"/>
      <c r="H165" s="295"/>
      <c r="I165" s="295"/>
      <c r="J165" s="295"/>
      <c r="K165" s="295"/>
      <c r="L165" s="295"/>
      <c r="M165" s="295"/>
      <c r="N165" s="295"/>
      <c r="O165" s="43"/>
    </row>
    <row r="166" spans="1:15" ht="13.65" customHeight="1">
      <c r="A166" s="262" t="s">
        <v>325</v>
      </c>
      <c r="B166" s="297" t="s">
        <v>372</v>
      </c>
      <c r="C166" s="281"/>
      <c r="D166" s="256" t="s">
        <v>375</v>
      </c>
      <c r="E166" s="294" t="s">
        <v>400</v>
      </c>
      <c r="F166" s="295"/>
      <c r="G166" s="295"/>
      <c r="H166" s="295"/>
      <c r="I166" s="295"/>
      <c r="J166" s="295"/>
      <c r="K166" s="295"/>
      <c r="L166" s="295"/>
      <c r="M166" s="295"/>
      <c r="N166" s="295"/>
      <c r="O166" s="43"/>
    </row>
    <row r="167" spans="1:15" ht="13.65" customHeight="1">
      <c r="A167" s="262" t="s">
        <v>325</v>
      </c>
      <c r="B167" s="297" t="s">
        <v>372</v>
      </c>
      <c r="C167" s="281"/>
      <c r="D167" s="256" t="s">
        <v>375</v>
      </c>
      <c r="E167" s="294" t="s">
        <v>401</v>
      </c>
      <c r="F167" s="295"/>
      <c r="G167" s="295"/>
      <c r="H167" s="295"/>
      <c r="I167" s="295"/>
      <c r="J167" s="295"/>
      <c r="K167" s="295"/>
      <c r="L167" s="295"/>
      <c r="M167" s="295"/>
      <c r="N167" s="295"/>
      <c r="O167" s="43"/>
    </row>
    <row r="168" spans="1:15" ht="13.65" customHeight="1">
      <c r="A168" s="262" t="s">
        <v>325</v>
      </c>
      <c r="B168" s="297" t="s">
        <v>372</v>
      </c>
      <c r="C168" s="281"/>
      <c r="D168" s="256" t="s">
        <v>375</v>
      </c>
      <c r="E168" s="294" t="s">
        <v>402</v>
      </c>
      <c r="F168" s="295"/>
      <c r="G168" s="295"/>
      <c r="H168" s="295"/>
      <c r="I168" s="295"/>
      <c r="J168" s="295"/>
      <c r="K168" s="295"/>
      <c r="L168" s="295"/>
      <c r="M168" s="295"/>
      <c r="N168" s="295"/>
      <c r="O168" s="43"/>
    </row>
    <row r="169" spans="1:15" ht="13.65" customHeight="1">
      <c r="A169" s="262" t="s">
        <v>325</v>
      </c>
      <c r="B169" s="297" t="s">
        <v>372</v>
      </c>
      <c r="C169" s="281"/>
      <c r="D169" s="256" t="s">
        <v>375</v>
      </c>
      <c r="E169" s="294" t="s">
        <v>403</v>
      </c>
      <c r="F169" s="295"/>
      <c r="G169" s="295"/>
      <c r="H169" s="295"/>
      <c r="I169" s="295"/>
      <c r="J169" s="295"/>
      <c r="K169" s="295"/>
      <c r="L169" s="295"/>
      <c r="M169" s="295"/>
      <c r="N169" s="295"/>
      <c r="O169" s="43"/>
    </row>
    <row r="170" spans="1:15" ht="13.65" customHeight="1">
      <c r="A170" s="262" t="s">
        <v>325</v>
      </c>
      <c r="B170" s="297" t="s">
        <v>372</v>
      </c>
      <c r="C170" s="281"/>
      <c r="D170" s="256" t="s">
        <v>375</v>
      </c>
      <c r="E170" s="294" t="s">
        <v>404</v>
      </c>
      <c r="F170" s="295"/>
      <c r="G170" s="295"/>
      <c r="H170" s="295"/>
      <c r="I170" s="295"/>
      <c r="J170" s="295"/>
      <c r="K170" s="295"/>
      <c r="L170" s="295"/>
      <c r="M170" s="295"/>
      <c r="N170" s="295"/>
      <c r="O170" s="43"/>
    </row>
    <row r="171" spans="1:15" ht="13.65" customHeight="1">
      <c r="A171" s="262" t="s">
        <v>325</v>
      </c>
      <c r="B171" s="297" t="s">
        <v>372</v>
      </c>
      <c r="C171" s="281"/>
      <c r="D171" s="256" t="s">
        <v>375</v>
      </c>
      <c r="E171" s="294" t="s">
        <v>405</v>
      </c>
      <c r="F171" s="295"/>
      <c r="G171" s="295"/>
      <c r="H171" s="295"/>
      <c r="I171" s="295"/>
      <c r="J171" s="295"/>
      <c r="K171" s="295"/>
      <c r="L171" s="295"/>
      <c r="M171" s="295"/>
      <c r="N171" s="295"/>
      <c r="O171" s="43"/>
    </row>
    <row r="172" spans="1:15" ht="13.65" customHeight="1">
      <c r="A172" s="262" t="s">
        <v>325</v>
      </c>
      <c r="B172" s="297" t="s">
        <v>372</v>
      </c>
      <c r="C172" s="281"/>
      <c r="D172" s="256" t="s">
        <v>375</v>
      </c>
      <c r="E172" s="294" t="s">
        <v>406</v>
      </c>
      <c r="F172" s="295"/>
      <c r="G172" s="295"/>
      <c r="H172" s="295"/>
      <c r="I172" s="295"/>
      <c r="J172" s="295"/>
      <c r="K172" s="295"/>
      <c r="L172" s="295"/>
      <c r="M172" s="295"/>
      <c r="N172" s="295"/>
      <c r="O172" s="43"/>
    </row>
    <row r="173" spans="1:15" ht="13.65" customHeight="1">
      <c r="A173" s="262" t="s">
        <v>325</v>
      </c>
      <c r="B173" s="297" t="s">
        <v>372</v>
      </c>
      <c r="C173" s="281"/>
      <c r="D173" s="256" t="s">
        <v>375</v>
      </c>
      <c r="E173" s="294" t="s">
        <v>407</v>
      </c>
      <c r="F173" s="295"/>
      <c r="G173" s="295"/>
      <c r="H173" s="295"/>
      <c r="I173" s="295"/>
      <c r="J173" s="295"/>
      <c r="K173" s="295"/>
      <c r="L173" s="295"/>
      <c r="M173" s="295"/>
      <c r="N173" s="295"/>
      <c r="O173" s="43"/>
    </row>
    <row r="174" spans="1:15" ht="13.65" customHeight="1">
      <c r="A174" s="262" t="s">
        <v>325</v>
      </c>
      <c r="B174" s="297" t="s">
        <v>372</v>
      </c>
      <c r="C174" s="281"/>
      <c r="D174" s="256" t="s">
        <v>375</v>
      </c>
      <c r="E174" s="294" t="s">
        <v>408</v>
      </c>
      <c r="F174" s="295"/>
      <c r="G174" s="295"/>
      <c r="H174" s="295"/>
      <c r="I174" s="295"/>
      <c r="J174" s="295"/>
      <c r="K174" s="295"/>
      <c r="L174" s="295"/>
      <c r="M174" s="295"/>
      <c r="N174" s="295"/>
      <c r="O174" s="43"/>
    </row>
    <row r="175" spans="1:15" ht="13.65" customHeight="1">
      <c r="A175" s="262" t="s">
        <v>325</v>
      </c>
      <c r="B175" s="297" t="s">
        <v>372</v>
      </c>
      <c r="C175" s="281"/>
      <c r="D175" s="256" t="s">
        <v>375</v>
      </c>
      <c r="E175" s="294" t="s">
        <v>409</v>
      </c>
      <c r="F175" s="295"/>
      <c r="G175" s="295"/>
      <c r="H175" s="295"/>
      <c r="I175" s="295"/>
      <c r="J175" s="295"/>
      <c r="K175" s="295"/>
      <c r="L175" s="295"/>
      <c r="M175" s="295"/>
      <c r="N175" s="295"/>
      <c r="O175" s="43"/>
    </row>
    <row r="176" spans="1:15" ht="13.65" customHeight="1">
      <c r="A176" s="262" t="s">
        <v>325</v>
      </c>
      <c r="B176" s="300" t="s">
        <v>410</v>
      </c>
      <c r="C176" s="301"/>
      <c r="D176" s="256" t="s">
        <v>84</v>
      </c>
      <c r="E176" s="294" t="s">
        <v>411</v>
      </c>
      <c r="F176" s="295"/>
      <c r="G176" s="295"/>
      <c r="H176" s="295"/>
      <c r="I176" s="295"/>
      <c r="J176" s="295"/>
      <c r="K176" s="295"/>
      <c r="L176" s="295"/>
      <c r="M176" s="295"/>
      <c r="N176" s="295"/>
      <c r="O176" s="43"/>
    </row>
    <row r="177" spans="1:15" ht="13.65" customHeight="1">
      <c r="A177" s="262" t="s">
        <v>325</v>
      </c>
      <c r="B177" s="300" t="s">
        <v>410</v>
      </c>
      <c r="C177" s="301"/>
      <c r="D177" s="256" t="s">
        <v>84</v>
      </c>
      <c r="E177" s="294" t="s">
        <v>412</v>
      </c>
      <c r="F177" s="295"/>
      <c r="G177" s="295"/>
      <c r="H177" s="295"/>
      <c r="I177" s="295"/>
      <c r="J177" s="295"/>
      <c r="K177" s="295"/>
      <c r="L177" s="295"/>
      <c r="M177" s="295"/>
      <c r="N177" s="295"/>
      <c r="O177" s="43"/>
    </row>
    <row r="178" spans="1:15" ht="13.65" customHeight="1">
      <c r="A178" s="262" t="s">
        <v>325</v>
      </c>
      <c r="B178" s="300" t="s">
        <v>410</v>
      </c>
      <c r="C178" s="301"/>
      <c r="D178" s="256" t="s">
        <v>84</v>
      </c>
      <c r="E178" s="294" t="s">
        <v>413</v>
      </c>
      <c r="F178" s="295"/>
      <c r="G178" s="295"/>
      <c r="H178" s="295"/>
      <c r="I178" s="295"/>
      <c r="J178" s="295"/>
      <c r="K178" s="295"/>
      <c r="L178" s="295"/>
      <c r="M178" s="295"/>
      <c r="N178" s="295"/>
      <c r="O178" s="43"/>
    </row>
    <row r="179" spans="1:15" ht="13.65" customHeight="1">
      <c r="A179" s="262" t="s">
        <v>325</v>
      </c>
      <c r="B179" s="300" t="s">
        <v>410</v>
      </c>
      <c r="C179" s="301"/>
      <c r="D179" s="256" t="s">
        <v>84</v>
      </c>
      <c r="E179" s="294" t="s">
        <v>414</v>
      </c>
      <c r="F179" s="295"/>
      <c r="G179" s="295"/>
      <c r="H179" s="295"/>
      <c r="I179" s="295"/>
      <c r="J179" s="295"/>
      <c r="K179" s="295"/>
      <c r="L179" s="295"/>
      <c r="M179" s="295"/>
      <c r="N179" s="295"/>
      <c r="O179" s="43"/>
    </row>
    <row r="180" spans="1:15" ht="13.65" customHeight="1">
      <c r="A180" s="262" t="s">
        <v>325</v>
      </c>
      <c r="B180" s="300" t="s">
        <v>415</v>
      </c>
      <c r="C180" s="301"/>
      <c r="D180" s="256" t="s">
        <v>84</v>
      </c>
      <c r="E180" s="294" t="s">
        <v>416</v>
      </c>
      <c r="F180" s="295"/>
      <c r="G180" s="295"/>
      <c r="H180" s="295"/>
      <c r="I180" s="295"/>
      <c r="J180" s="295"/>
      <c r="K180" s="295"/>
      <c r="L180" s="295"/>
      <c r="M180" s="295"/>
      <c r="N180" s="295"/>
      <c r="O180" s="43"/>
    </row>
    <row r="181" spans="1:15" ht="13.65" customHeight="1">
      <c r="A181" s="262" t="s">
        <v>325</v>
      </c>
      <c r="B181" s="300" t="s">
        <v>415</v>
      </c>
      <c r="C181" s="301"/>
      <c r="D181" s="256" t="s">
        <v>84</v>
      </c>
      <c r="E181" s="294" t="s">
        <v>222</v>
      </c>
      <c r="F181" s="295"/>
      <c r="G181" s="295"/>
      <c r="H181" s="295"/>
      <c r="I181" s="295"/>
      <c r="J181" s="295"/>
      <c r="K181" s="295"/>
      <c r="L181" s="295"/>
      <c r="M181" s="295"/>
      <c r="N181" s="295"/>
      <c r="O181" s="43"/>
    </row>
    <row r="182" spans="1:15" ht="13.65" customHeight="1">
      <c r="A182" s="262" t="s">
        <v>325</v>
      </c>
      <c r="B182" s="300" t="s">
        <v>415</v>
      </c>
      <c r="C182" s="301"/>
      <c r="D182" s="256" t="s">
        <v>84</v>
      </c>
      <c r="E182" s="294" t="s">
        <v>417</v>
      </c>
      <c r="F182" s="295"/>
      <c r="G182" s="295"/>
      <c r="H182" s="295"/>
      <c r="I182" s="295"/>
      <c r="J182" s="295"/>
      <c r="K182" s="295"/>
      <c r="L182" s="295"/>
      <c r="M182" s="295"/>
      <c r="N182" s="295"/>
      <c r="O182" s="43"/>
    </row>
    <row r="183" spans="1:15" ht="13.65" customHeight="1">
      <c r="A183" s="262" t="s">
        <v>325</v>
      </c>
      <c r="B183" s="300" t="s">
        <v>415</v>
      </c>
      <c r="C183" s="301"/>
      <c r="D183" s="256" t="s">
        <v>84</v>
      </c>
      <c r="E183" s="294" t="s">
        <v>221</v>
      </c>
      <c r="F183" s="295"/>
      <c r="G183" s="295"/>
      <c r="H183" s="295"/>
      <c r="I183" s="295"/>
      <c r="J183" s="295"/>
      <c r="K183" s="295"/>
      <c r="L183" s="295"/>
      <c r="M183" s="295"/>
      <c r="N183" s="295"/>
      <c r="O183" s="43"/>
    </row>
    <row r="184" spans="1:15" ht="13.65" customHeight="1">
      <c r="A184" s="262" t="s">
        <v>325</v>
      </c>
      <c r="B184" s="300" t="s">
        <v>415</v>
      </c>
      <c r="C184" s="301"/>
      <c r="D184" s="256" t="s">
        <v>84</v>
      </c>
      <c r="E184" s="294" t="s">
        <v>418</v>
      </c>
      <c r="F184" s="295"/>
      <c r="G184" s="295"/>
      <c r="H184" s="295"/>
      <c r="I184" s="295"/>
      <c r="J184" s="295"/>
      <c r="K184" s="295"/>
      <c r="L184" s="295"/>
      <c r="M184" s="295"/>
      <c r="N184" s="295"/>
      <c r="O184" s="43"/>
    </row>
    <row r="185" spans="1:15" ht="13.65" customHeight="1">
      <c r="A185" s="262" t="s">
        <v>325</v>
      </c>
      <c r="B185" s="300" t="s">
        <v>415</v>
      </c>
      <c r="C185" s="301"/>
      <c r="D185" s="256" t="s">
        <v>84</v>
      </c>
      <c r="E185" s="294" t="s">
        <v>419</v>
      </c>
      <c r="F185" s="295"/>
      <c r="G185" s="295"/>
      <c r="H185" s="295"/>
      <c r="I185" s="295"/>
      <c r="J185" s="295"/>
      <c r="K185" s="295"/>
      <c r="L185" s="295"/>
      <c r="M185" s="295"/>
      <c r="N185" s="295"/>
      <c r="O185" s="43"/>
    </row>
    <row r="186" spans="1:15" ht="13.65" customHeight="1">
      <c r="A186" s="262" t="s">
        <v>325</v>
      </c>
      <c r="B186" s="300" t="s">
        <v>415</v>
      </c>
      <c r="C186" s="301"/>
      <c r="D186" s="256" t="s">
        <v>84</v>
      </c>
      <c r="E186" s="294" t="s">
        <v>420</v>
      </c>
      <c r="F186" s="295"/>
      <c r="G186" s="295"/>
      <c r="H186" s="295"/>
      <c r="I186" s="295"/>
      <c r="J186" s="295"/>
      <c r="K186" s="295"/>
      <c r="L186" s="295"/>
      <c r="M186" s="295"/>
      <c r="N186" s="295"/>
      <c r="O186" s="43"/>
    </row>
    <row r="187" spans="1:15" ht="13.65" customHeight="1">
      <c r="A187" s="262" t="s">
        <v>325</v>
      </c>
      <c r="B187" s="300" t="s">
        <v>415</v>
      </c>
      <c r="C187" s="301"/>
      <c r="D187" s="256" t="s">
        <v>84</v>
      </c>
      <c r="E187" s="294" t="s">
        <v>421</v>
      </c>
      <c r="F187" s="295"/>
      <c r="G187" s="295"/>
      <c r="H187" s="295"/>
      <c r="I187" s="295"/>
      <c r="J187" s="295"/>
      <c r="K187" s="295"/>
      <c r="L187" s="295"/>
      <c r="M187" s="295"/>
      <c r="N187" s="295"/>
      <c r="O187" s="43"/>
    </row>
    <row r="188" spans="1:15" ht="13.65" customHeight="1">
      <c r="A188" s="262" t="s">
        <v>325</v>
      </c>
      <c r="B188" s="300" t="s">
        <v>422</v>
      </c>
      <c r="C188" s="301" t="s">
        <v>423</v>
      </c>
      <c r="D188" s="256" t="s">
        <v>84</v>
      </c>
      <c r="E188" s="294" t="s">
        <v>424</v>
      </c>
      <c r="F188" s="295"/>
      <c r="G188" s="295"/>
      <c r="H188" s="295"/>
      <c r="I188" s="295"/>
      <c r="J188" s="295"/>
      <c r="K188" s="295"/>
      <c r="L188" s="295"/>
      <c r="M188" s="295"/>
      <c r="N188" s="295"/>
      <c r="O188" s="43"/>
    </row>
    <row r="189" spans="1:15" ht="13.65" customHeight="1">
      <c r="A189" s="262" t="s">
        <v>325</v>
      </c>
      <c r="B189" s="300" t="s">
        <v>422</v>
      </c>
      <c r="C189" s="301" t="s">
        <v>423</v>
      </c>
      <c r="D189" s="256" t="s">
        <v>84</v>
      </c>
      <c r="E189" s="294" t="s">
        <v>425</v>
      </c>
      <c r="F189" s="295"/>
      <c r="G189" s="295"/>
      <c r="H189" s="295"/>
      <c r="I189" s="295"/>
      <c r="J189" s="295"/>
      <c r="K189" s="295"/>
      <c r="L189" s="295"/>
      <c r="M189" s="295"/>
      <c r="N189" s="295"/>
      <c r="O189" s="43"/>
    </row>
    <row r="190" spans="1:15" ht="13.65" customHeight="1">
      <c r="A190" s="262" t="s">
        <v>325</v>
      </c>
      <c r="B190" s="300" t="s">
        <v>422</v>
      </c>
      <c r="C190" s="301" t="s">
        <v>423</v>
      </c>
      <c r="D190" s="256" t="s">
        <v>84</v>
      </c>
      <c r="E190" s="294" t="s">
        <v>426</v>
      </c>
      <c r="F190" s="295"/>
      <c r="G190" s="295"/>
      <c r="H190" s="295"/>
      <c r="I190" s="295"/>
      <c r="J190" s="295"/>
      <c r="K190" s="295"/>
      <c r="L190" s="295"/>
      <c r="M190" s="295"/>
      <c r="N190" s="295"/>
      <c r="O190" s="43"/>
    </row>
    <row r="191" spans="1:15" ht="13.65" customHeight="1">
      <c r="A191" s="262" t="s">
        <v>325</v>
      </c>
      <c r="B191" s="300" t="s">
        <v>422</v>
      </c>
      <c r="C191" s="301" t="s">
        <v>423</v>
      </c>
      <c r="D191" s="256" t="s">
        <v>84</v>
      </c>
      <c r="E191" s="294" t="s">
        <v>427</v>
      </c>
      <c r="F191" s="295"/>
      <c r="G191" s="295"/>
      <c r="H191" s="295"/>
      <c r="I191" s="295"/>
      <c r="J191" s="295"/>
      <c r="K191" s="295"/>
      <c r="L191" s="295"/>
      <c r="M191" s="295"/>
      <c r="N191" s="295"/>
      <c r="O191" s="43"/>
    </row>
    <row r="192" spans="1:15" ht="13.65" customHeight="1">
      <c r="A192" s="262" t="s">
        <v>325</v>
      </c>
      <c r="B192" s="300" t="s">
        <v>422</v>
      </c>
      <c r="C192" s="301" t="s">
        <v>423</v>
      </c>
      <c r="D192" s="256" t="s">
        <v>84</v>
      </c>
      <c r="E192" s="294" t="s">
        <v>428</v>
      </c>
      <c r="F192" s="295"/>
      <c r="G192" s="295"/>
      <c r="H192" s="295"/>
      <c r="I192" s="295"/>
      <c r="J192" s="295"/>
      <c r="K192" s="295"/>
      <c r="L192" s="295"/>
      <c r="M192" s="295"/>
      <c r="N192" s="295"/>
      <c r="O192" s="43"/>
    </row>
    <row r="193" spans="1:15" ht="13.65" customHeight="1">
      <c r="A193" s="262" t="s">
        <v>325</v>
      </c>
      <c r="B193" s="300" t="s">
        <v>422</v>
      </c>
      <c r="C193" s="301" t="s">
        <v>423</v>
      </c>
      <c r="D193" s="256" t="s">
        <v>84</v>
      </c>
      <c r="E193" s="294" t="s">
        <v>429</v>
      </c>
      <c r="F193" s="295"/>
      <c r="G193" s="295"/>
      <c r="H193" s="295"/>
      <c r="I193" s="295"/>
      <c r="J193" s="295"/>
      <c r="K193" s="295"/>
      <c r="L193" s="295"/>
      <c r="M193" s="295"/>
      <c r="N193" s="295"/>
      <c r="O193" s="43"/>
    </row>
    <row r="194" spans="1:15" ht="13.65" customHeight="1">
      <c r="A194" s="262" t="s">
        <v>325</v>
      </c>
      <c r="B194" s="300" t="s">
        <v>422</v>
      </c>
      <c r="C194" s="301" t="s">
        <v>423</v>
      </c>
      <c r="D194" s="256" t="s">
        <v>84</v>
      </c>
      <c r="E194" s="294" t="s">
        <v>430</v>
      </c>
      <c r="F194" s="295"/>
      <c r="G194" s="295"/>
      <c r="H194" s="295"/>
      <c r="I194" s="295"/>
      <c r="J194" s="295"/>
      <c r="K194" s="295"/>
      <c r="L194" s="295"/>
      <c r="M194" s="295"/>
      <c r="N194" s="295"/>
      <c r="O194" s="43"/>
    </row>
    <row r="195" spans="1:15" ht="13.65" customHeight="1">
      <c r="A195" s="262" t="s">
        <v>325</v>
      </c>
      <c r="B195" s="300" t="s">
        <v>422</v>
      </c>
      <c r="C195" s="301" t="s">
        <v>423</v>
      </c>
      <c r="D195" s="256" t="s">
        <v>84</v>
      </c>
      <c r="E195" s="294" t="s">
        <v>431</v>
      </c>
      <c r="F195" s="295"/>
      <c r="G195" s="295"/>
      <c r="H195" s="295"/>
      <c r="I195" s="295"/>
      <c r="J195" s="295"/>
      <c r="K195" s="295"/>
      <c r="L195" s="295"/>
      <c r="M195" s="295"/>
      <c r="N195" s="295"/>
      <c r="O195" s="43"/>
    </row>
    <row r="196" spans="1:15" ht="13.65" customHeight="1">
      <c r="A196" s="262" t="s">
        <v>325</v>
      </c>
      <c r="B196" s="300" t="s">
        <v>422</v>
      </c>
      <c r="C196" s="301" t="s">
        <v>423</v>
      </c>
      <c r="D196" s="256" t="s">
        <v>84</v>
      </c>
      <c r="E196" s="294" t="s">
        <v>432</v>
      </c>
      <c r="F196" s="295"/>
      <c r="G196" s="295"/>
      <c r="H196" s="295"/>
      <c r="I196" s="295"/>
      <c r="J196" s="295"/>
      <c r="K196" s="295"/>
      <c r="L196" s="295"/>
      <c r="M196" s="295"/>
      <c r="N196" s="295"/>
      <c r="O196" s="43"/>
    </row>
    <row r="197" spans="1:15" ht="13.65" customHeight="1">
      <c r="A197" s="262" t="s">
        <v>325</v>
      </c>
      <c r="B197" s="300" t="s">
        <v>422</v>
      </c>
      <c r="C197" s="301" t="s">
        <v>423</v>
      </c>
      <c r="D197" s="256" t="s">
        <v>84</v>
      </c>
      <c r="E197" s="294" t="s">
        <v>433</v>
      </c>
      <c r="F197" s="295"/>
      <c r="G197" s="295"/>
      <c r="H197" s="295"/>
      <c r="I197" s="295"/>
      <c r="J197" s="295"/>
      <c r="K197" s="295"/>
      <c r="L197" s="295"/>
      <c r="M197" s="295"/>
      <c r="N197" s="295"/>
      <c r="O197" s="43"/>
    </row>
    <row r="198" spans="1:15" ht="13.65" customHeight="1">
      <c r="A198" s="262" t="s">
        <v>325</v>
      </c>
      <c r="B198" s="300" t="s">
        <v>422</v>
      </c>
      <c r="C198" s="301" t="s">
        <v>423</v>
      </c>
      <c r="D198" s="256" t="s">
        <v>84</v>
      </c>
      <c r="E198" s="294" t="s">
        <v>434</v>
      </c>
      <c r="F198" s="295"/>
      <c r="G198" s="295"/>
      <c r="H198" s="295"/>
      <c r="I198" s="295"/>
      <c r="J198" s="295"/>
      <c r="K198" s="295"/>
      <c r="L198" s="295"/>
      <c r="M198" s="295"/>
      <c r="N198" s="295"/>
      <c r="O198" s="43"/>
    </row>
    <row r="199" spans="1:15" ht="13.65" customHeight="1">
      <c r="A199" s="262" t="s">
        <v>325</v>
      </c>
      <c r="B199" s="300" t="s">
        <v>422</v>
      </c>
      <c r="C199" s="301" t="s">
        <v>423</v>
      </c>
      <c r="D199" s="256" t="s">
        <v>84</v>
      </c>
      <c r="E199" s="294" t="s">
        <v>435</v>
      </c>
      <c r="F199" s="295"/>
      <c r="G199" s="295"/>
      <c r="H199" s="295"/>
      <c r="I199" s="295"/>
      <c r="J199" s="295"/>
      <c r="K199" s="295"/>
      <c r="L199" s="295"/>
      <c r="M199" s="295"/>
      <c r="N199" s="295"/>
      <c r="O199" s="43"/>
    </row>
  </sheetData>
  <dataConsolidate/>
  <mergeCells count="1">
    <mergeCell ref="H15:N15"/>
  </mergeCells>
  <pageMargins left="0.7" right="0.7" top="0.75" bottom="0.75" header="0.3" footer="0.3"/>
  <pageSetup paperSize="9" orientation="portrait" horizontalDpi="4294967293"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29937-4C2C-4149-A141-73E0E62FF9EC}">
  <sheetPr>
    <outlinePr summaryRight="0"/>
  </sheetPr>
  <dimension ref="A15:CL123"/>
  <sheetViews>
    <sheetView zoomScaleNormal="100" workbookViewId="0">
      <selection activeCell="D105" sqref="D105"/>
    </sheetView>
  </sheetViews>
  <sheetFormatPr defaultColWidth="8.88671875" defaultRowHeight="14.4" outlineLevelRow="1"/>
  <cols>
    <col min="1" max="1" width="34.5546875" style="92" bestFit="1" customWidth="1"/>
    <col min="2" max="2" width="30.109375" style="1" bestFit="1" customWidth="1"/>
    <col min="3" max="3" width="21.44140625" style="1" customWidth="1"/>
    <col min="4" max="4" width="23.44140625" style="1" customWidth="1"/>
    <col min="5" max="5" width="33.88671875" style="1" customWidth="1"/>
    <col min="6" max="6" width="24.88671875" style="1" customWidth="1"/>
    <col min="7" max="7" width="9" style="1" customWidth="1"/>
    <col min="8" max="12" width="8.88671875" style="1"/>
    <col min="13" max="13" width="15.5546875" style="1" customWidth="1"/>
    <col min="14" max="14" width="13.88671875" style="1" customWidth="1"/>
    <col min="15" max="27" width="8.88671875" style="1"/>
    <col min="28" max="90" width="8.88671875" style="147"/>
    <col min="91" max="16384" width="8.88671875" style="1"/>
  </cols>
  <sheetData>
    <row r="15" spans="1:14">
      <c r="A15" s="261"/>
      <c r="B15" s="254"/>
      <c r="C15" s="254"/>
      <c r="D15" s="254"/>
      <c r="E15" s="254"/>
      <c r="F15" s="255"/>
      <c r="G15" s="312" t="s">
        <v>192</v>
      </c>
      <c r="H15" s="312"/>
      <c r="I15" s="312"/>
      <c r="J15" s="312"/>
      <c r="K15" s="312"/>
      <c r="L15" s="312"/>
      <c r="M15" s="312"/>
      <c r="N15" s="263" t="s">
        <v>193</v>
      </c>
    </row>
    <row r="16" spans="1:14">
      <c r="A16" s="253" t="s">
        <v>194</v>
      </c>
      <c r="B16" s="253" t="s">
        <v>195</v>
      </c>
      <c r="C16" s="253" t="s">
        <v>196</v>
      </c>
      <c r="D16" s="253" t="s">
        <v>198</v>
      </c>
      <c r="E16" s="264" t="s">
        <v>199</v>
      </c>
      <c r="F16" s="265" t="s">
        <v>200</v>
      </c>
      <c r="G16" s="266" t="s">
        <v>201</v>
      </c>
      <c r="H16" s="266" t="s">
        <v>202</v>
      </c>
      <c r="I16" s="266" t="s">
        <v>203</v>
      </c>
      <c r="J16" s="266" t="s">
        <v>204</v>
      </c>
      <c r="K16" s="266" t="s">
        <v>205</v>
      </c>
      <c r="L16" s="266" t="s">
        <v>206</v>
      </c>
      <c r="M16" s="266" t="s">
        <v>207</v>
      </c>
      <c r="N16" s="267" t="s">
        <v>193</v>
      </c>
    </row>
    <row r="17" spans="1:14" ht="31.35" hidden="1" customHeight="1">
      <c r="A17" s="262" t="s">
        <v>325</v>
      </c>
      <c r="B17" s="259" t="s">
        <v>436</v>
      </c>
      <c r="C17" s="260"/>
      <c r="D17" s="259" t="s">
        <v>436</v>
      </c>
      <c r="E17" s="268" t="s">
        <v>219</v>
      </c>
      <c r="F17" s="269" t="s">
        <v>213</v>
      </c>
      <c r="G17" s="195"/>
      <c r="H17" s="195"/>
      <c r="I17" s="195"/>
      <c r="J17" s="195"/>
      <c r="K17" s="195"/>
      <c r="L17" s="195"/>
      <c r="M17" s="195"/>
      <c r="N17" s="195"/>
    </row>
    <row r="18" spans="1:14" ht="14.4" hidden="1" customHeight="1">
      <c r="A18" s="262" t="s">
        <v>325</v>
      </c>
      <c r="B18" s="259" t="s">
        <v>6</v>
      </c>
      <c r="C18" s="260"/>
      <c r="D18" s="259" t="s">
        <v>437</v>
      </c>
      <c r="E18" s="268" t="s">
        <v>219</v>
      </c>
      <c r="F18" s="269" t="s">
        <v>217</v>
      </c>
      <c r="G18" s="195"/>
      <c r="H18" s="195"/>
      <c r="I18" s="195"/>
      <c r="J18" s="195"/>
      <c r="K18" s="195"/>
      <c r="L18" s="195"/>
      <c r="M18" s="195"/>
      <c r="N18" s="195"/>
    </row>
    <row r="19" spans="1:14" ht="14.4" customHeight="1">
      <c r="A19" s="262" t="s">
        <v>325</v>
      </c>
      <c r="B19" s="259" t="s">
        <v>326</v>
      </c>
      <c r="C19" s="260"/>
      <c r="D19" s="259" t="s">
        <v>328</v>
      </c>
      <c r="E19" s="268" t="s">
        <v>225</v>
      </c>
      <c r="F19" s="269" t="s">
        <v>217</v>
      </c>
      <c r="G19" s="195"/>
      <c r="H19" s="195"/>
      <c r="I19" s="195"/>
      <c r="J19" s="195"/>
      <c r="K19" s="195"/>
      <c r="L19" s="195"/>
      <c r="M19" s="195"/>
      <c r="N19" s="195"/>
    </row>
    <row r="20" spans="1:14" ht="14.4" hidden="1" customHeight="1">
      <c r="A20" s="278"/>
      <c r="B20" s="279" t="s">
        <v>56</v>
      </c>
      <c r="C20" s="280"/>
      <c r="D20" s="281"/>
      <c r="E20" s="282"/>
      <c r="F20" s="282"/>
      <c r="G20" s="195"/>
      <c r="H20" s="195"/>
      <c r="I20" s="195"/>
      <c r="J20" s="195"/>
      <c r="K20" s="195"/>
      <c r="L20" s="195"/>
      <c r="M20" s="195"/>
      <c r="N20" s="195"/>
    </row>
    <row r="21" spans="1:14" ht="14.4" customHeight="1">
      <c r="A21" s="262" t="s">
        <v>325</v>
      </c>
      <c r="B21" s="276" t="s">
        <v>438</v>
      </c>
      <c r="C21" s="277"/>
      <c r="D21" s="276" t="s">
        <v>438</v>
      </c>
      <c r="E21" s="268" t="s">
        <v>225</v>
      </c>
      <c r="F21" s="269" t="s">
        <v>217</v>
      </c>
      <c r="G21" s="195"/>
      <c r="H21" s="195"/>
      <c r="I21" s="195"/>
      <c r="J21" s="195"/>
      <c r="K21" s="195"/>
      <c r="L21" s="195"/>
      <c r="M21" s="195"/>
      <c r="N21" s="195"/>
    </row>
    <row r="22" spans="1:14" ht="14.4" hidden="1" customHeight="1">
      <c r="A22" s="262" t="s">
        <v>209</v>
      </c>
      <c r="B22" s="256" t="s">
        <v>210</v>
      </c>
      <c r="C22" s="256"/>
      <c r="D22" s="63" t="s">
        <v>211</v>
      </c>
      <c r="E22" s="268" t="s">
        <v>212</v>
      </c>
      <c r="F22" s="269" t="s">
        <v>213</v>
      </c>
      <c r="G22" s="195"/>
      <c r="H22" s="195"/>
      <c r="I22" s="195"/>
      <c r="J22" s="195"/>
      <c r="K22" s="195"/>
      <c r="L22" s="195"/>
      <c r="M22" s="195"/>
      <c r="N22" s="195"/>
    </row>
    <row r="23" spans="1:14" ht="14.4" hidden="1" customHeight="1">
      <c r="A23" s="262" t="s">
        <v>209</v>
      </c>
      <c r="B23" s="256" t="s">
        <v>210</v>
      </c>
      <c r="C23" s="256"/>
      <c r="D23" s="63" t="s">
        <v>214</v>
      </c>
      <c r="E23" s="268" t="s">
        <v>215</v>
      </c>
      <c r="F23" s="269" t="s">
        <v>213</v>
      </c>
      <c r="G23" s="195"/>
      <c r="H23" s="195"/>
      <c r="I23" s="195"/>
      <c r="J23" s="195"/>
      <c r="K23" s="195"/>
      <c r="L23" s="195"/>
      <c r="M23" s="195"/>
      <c r="N23" s="195"/>
    </row>
    <row r="24" spans="1:14" ht="14.4" hidden="1" customHeight="1">
      <c r="A24" s="262" t="s">
        <v>209</v>
      </c>
      <c r="B24" s="256" t="s">
        <v>210</v>
      </c>
      <c r="C24" s="256"/>
      <c r="D24" s="63" t="s">
        <v>439</v>
      </c>
      <c r="E24" s="268" t="s">
        <v>212</v>
      </c>
      <c r="F24" s="269" t="s">
        <v>217</v>
      </c>
      <c r="G24" s="195"/>
      <c r="H24" s="195"/>
      <c r="I24" s="195"/>
      <c r="J24" s="195"/>
      <c r="K24" s="195"/>
      <c r="L24" s="195"/>
      <c r="M24" s="195"/>
      <c r="N24" s="195"/>
    </row>
    <row r="25" spans="1:14" ht="14.4" hidden="1" customHeight="1">
      <c r="A25" s="262" t="s">
        <v>209</v>
      </c>
      <c r="B25" s="256" t="s">
        <v>210</v>
      </c>
      <c r="C25" s="256"/>
      <c r="D25" s="63" t="s">
        <v>440</v>
      </c>
      <c r="E25" s="268" t="s">
        <v>219</v>
      </c>
      <c r="F25" s="269" t="s">
        <v>220</v>
      </c>
      <c r="G25" s="195"/>
      <c r="H25" s="195"/>
      <c r="I25" s="195"/>
      <c r="J25" s="195"/>
      <c r="K25" s="195"/>
      <c r="L25" s="195"/>
      <c r="M25" s="195"/>
      <c r="N25" s="195"/>
    </row>
    <row r="26" spans="1:14" ht="14.4" hidden="1" customHeight="1">
      <c r="A26" s="262" t="s">
        <v>209</v>
      </c>
      <c r="B26" s="256" t="s">
        <v>210</v>
      </c>
      <c r="C26" s="256"/>
      <c r="D26" s="63" t="s">
        <v>221</v>
      </c>
      <c r="E26" s="268" t="s">
        <v>215</v>
      </c>
      <c r="F26" s="269" t="s">
        <v>217</v>
      </c>
      <c r="G26" s="195"/>
      <c r="H26" s="195"/>
      <c r="I26" s="195"/>
      <c r="J26" s="195"/>
      <c r="K26" s="195"/>
      <c r="L26" s="195"/>
      <c r="M26" s="195"/>
      <c r="N26" s="195"/>
    </row>
    <row r="27" spans="1:14" ht="14.4" hidden="1" customHeight="1">
      <c r="A27" s="262" t="s">
        <v>209</v>
      </c>
      <c r="B27" s="256" t="s">
        <v>210</v>
      </c>
      <c r="C27" s="256"/>
      <c r="D27" s="63" t="s">
        <v>222</v>
      </c>
      <c r="E27" s="268" t="s">
        <v>215</v>
      </c>
      <c r="F27" s="269" t="s">
        <v>217</v>
      </c>
      <c r="G27" s="195"/>
      <c r="H27" s="195"/>
      <c r="I27" s="195"/>
      <c r="J27" s="195"/>
      <c r="K27" s="195"/>
      <c r="L27" s="195"/>
      <c r="M27" s="195"/>
      <c r="N27" s="195"/>
    </row>
    <row r="28" spans="1:14" ht="14.4" hidden="1" customHeight="1">
      <c r="A28" s="262" t="s">
        <v>209</v>
      </c>
      <c r="B28" s="256" t="s">
        <v>210</v>
      </c>
      <c r="C28" s="256"/>
      <c r="D28" s="63" t="s">
        <v>223</v>
      </c>
      <c r="E28" s="268" t="s">
        <v>215</v>
      </c>
      <c r="F28" s="269" t="s">
        <v>217</v>
      </c>
      <c r="G28" s="195"/>
      <c r="H28" s="195"/>
      <c r="I28" s="195"/>
      <c r="J28" s="195"/>
      <c r="K28" s="195"/>
      <c r="L28" s="195"/>
      <c r="M28" s="195"/>
      <c r="N28" s="195"/>
    </row>
    <row r="29" spans="1:14" ht="14.4" customHeight="1">
      <c r="A29" s="262" t="s">
        <v>209</v>
      </c>
      <c r="B29" s="256" t="s">
        <v>210</v>
      </c>
      <c r="C29" s="256"/>
      <c r="D29" s="63" t="s">
        <v>224</v>
      </c>
      <c r="E29" s="268" t="s">
        <v>225</v>
      </c>
      <c r="F29" s="269" t="s">
        <v>217</v>
      </c>
      <c r="G29" s="195"/>
      <c r="H29" s="195"/>
      <c r="I29" s="195"/>
      <c r="J29" s="195"/>
      <c r="K29" s="195"/>
      <c r="L29" s="195"/>
      <c r="M29" s="195"/>
      <c r="N29" s="195"/>
    </row>
    <row r="30" spans="1:14" ht="14.4" hidden="1" customHeight="1">
      <c r="A30" s="262" t="s">
        <v>209</v>
      </c>
      <c r="B30" s="256" t="s">
        <v>210</v>
      </c>
      <c r="C30" s="256"/>
      <c r="D30" s="63" t="s">
        <v>226</v>
      </c>
      <c r="E30" s="268" t="s">
        <v>215</v>
      </c>
      <c r="F30" s="269" t="s">
        <v>217</v>
      </c>
      <c r="G30" s="195"/>
      <c r="H30" s="195"/>
      <c r="I30" s="195"/>
      <c r="J30" s="195"/>
      <c r="K30" s="195"/>
      <c r="L30" s="195"/>
      <c r="M30" s="195"/>
      <c r="N30" s="195"/>
    </row>
    <row r="31" spans="1:14" ht="14.4" hidden="1" customHeight="1">
      <c r="A31" s="262" t="s">
        <v>209</v>
      </c>
      <c r="B31" s="256" t="s">
        <v>227</v>
      </c>
      <c r="C31" s="256"/>
      <c r="D31" s="63" t="s">
        <v>229</v>
      </c>
      <c r="E31" s="268" t="s">
        <v>212</v>
      </c>
      <c r="F31" s="269" t="s">
        <v>213</v>
      </c>
      <c r="G31" s="195"/>
      <c r="H31" s="195"/>
      <c r="I31" s="195"/>
      <c r="J31" s="195"/>
      <c r="K31" s="195"/>
      <c r="L31" s="195"/>
      <c r="M31" s="195"/>
      <c r="N31" s="195"/>
    </row>
    <row r="32" spans="1:14" ht="14.4" hidden="1" customHeight="1" outlineLevel="1">
      <c r="A32" s="262" t="s">
        <v>209</v>
      </c>
      <c r="B32" s="256" t="s">
        <v>227</v>
      </c>
      <c r="C32" s="256"/>
      <c r="D32" s="63" t="s">
        <v>230</v>
      </c>
      <c r="E32" s="268" t="s">
        <v>220</v>
      </c>
      <c r="F32" s="269" t="s">
        <v>213</v>
      </c>
      <c r="G32" s="195"/>
      <c r="H32" s="195"/>
      <c r="I32" s="195"/>
      <c r="J32" s="195"/>
      <c r="K32" s="195"/>
      <c r="L32" s="195"/>
      <c r="M32" s="195"/>
      <c r="N32" s="195"/>
    </row>
    <row r="33" spans="1:14" ht="14.4" customHeight="1" outlineLevel="1">
      <c r="A33" s="262" t="s">
        <v>209</v>
      </c>
      <c r="B33" s="256" t="s">
        <v>227</v>
      </c>
      <c r="C33" s="256"/>
      <c r="D33" s="63" t="s">
        <v>231</v>
      </c>
      <c r="E33" s="268" t="s">
        <v>225</v>
      </c>
      <c r="F33" s="269" t="s">
        <v>220</v>
      </c>
      <c r="G33" s="195"/>
      <c r="H33" s="195"/>
      <c r="I33" s="195"/>
      <c r="J33" s="195"/>
      <c r="K33" s="195"/>
      <c r="L33" s="195"/>
      <c r="M33" s="195"/>
      <c r="N33" s="195"/>
    </row>
    <row r="34" spans="1:14" ht="28.65" hidden="1" customHeight="1" outlineLevel="1">
      <c r="A34" s="262" t="s">
        <v>209</v>
      </c>
      <c r="B34" s="256" t="s">
        <v>227</v>
      </c>
      <c r="C34" s="256"/>
      <c r="D34" s="63" t="s">
        <v>232</v>
      </c>
      <c r="E34" s="268" t="s">
        <v>220</v>
      </c>
      <c r="F34" s="269" t="s">
        <v>213</v>
      </c>
      <c r="G34" s="195"/>
      <c r="H34" s="195"/>
      <c r="I34" s="195"/>
      <c r="J34" s="195"/>
      <c r="K34" s="195"/>
      <c r="L34" s="195"/>
      <c r="M34" s="195"/>
      <c r="N34" s="195"/>
    </row>
    <row r="35" spans="1:14" ht="43.2" hidden="1" outlineLevel="1">
      <c r="A35" s="262" t="s">
        <v>209</v>
      </c>
      <c r="B35" s="256" t="s">
        <v>227</v>
      </c>
      <c r="C35" s="256"/>
      <c r="D35" s="63" t="s">
        <v>233</v>
      </c>
      <c r="E35" s="268" t="s">
        <v>220</v>
      </c>
      <c r="F35" s="269" t="s">
        <v>217</v>
      </c>
      <c r="G35" s="195"/>
      <c r="H35" s="195"/>
      <c r="I35" s="195"/>
      <c r="J35" s="195"/>
      <c r="K35" s="195"/>
      <c r="L35" s="195"/>
      <c r="M35" s="195"/>
      <c r="N35" s="195"/>
    </row>
    <row r="36" spans="1:14" ht="14.4" hidden="1" customHeight="1" outlineLevel="1">
      <c r="A36" s="262" t="s">
        <v>209</v>
      </c>
      <c r="B36" s="256" t="s">
        <v>227</v>
      </c>
      <c r="C36" s="256"/>
      <c r="D36" s="63" t="s">
        <v>234</v>
      </c>
      <c r="E36" s="268" t="s">
        <v>220</v>
      </c>
      <c r="F36" s="269" t="s">
        <v>213</v>
      </c>
      <c r="G36" s="195"/>
      <c r="H36" s="195"/>
      <c r="I36" s="195"/>
      <c r="J36" s="195"/>
      <c r="K36" s="195"/>
      <c r="L36" s="195"/>
      <c r="M36" s="195"/>
      <c r="N36" s="195"/>
    </row>
    <row r="37" spans="1:14" ht="28.65" hidden="1" customHeight="1" outlineLevel="1">
      <c r="A37" s="262" t="s">
        <v>209</v>
      </c>
      <c r="B37" s="256" t="s">
        <v>227</v>
      </c>
      <c r="C37" s="256"/>
      <c r="D37" s="63" t="s">
        <v>235</v>
      </c>
      <c r="E37" s="268" t="s">
        <v>220</v>
      </c>
      <c r="F37" s="269" t="s">
        <v>213</v>
      </c>
      <c r="G37" s="195"/>
      <c r="H37" s="195"/>
      <c r="I37" s="195"/>
      <c r="J37" s="195"/>
      <c r="K37" s="195"/>
      <c r="L37" s="195"/>
      <c r="M37" s="195"/>
      <c r="N37" s="195"/>
    </row>
    <row r="38" spans="1:14" ht="14.4" hidden="1" customHeight="1" outlineLevel="1">
      <c r="A38" s="262" t="s">
        <v>209</v>
      </c>
      <c r="B38" s="256" t="s">
        <v>227</v>
      </c>
      <c r="C38" s="256"/>
      <c r="D38" s="63" t="s">
        <v>236</v>
      </c>
      <c r="E38" s="268" t="s">
        <v>220</v>
      </c>
      <c r="F38" s="269" t="s">
        <v>220</v>
      </c>
      <c r="G38" s="195"/>
      <c r="H38" s="195"/>
      <c r="I38" s="195"/>
      <c r="J38" s="195"/>
      <c r="K38" s="195"/>
      <c r="L38" s="195"/>
      <c r="M38" s="195"/>
      <c r="N38" s="195"/>
    </row>
    <row r="39" spans="1:14" ht="14.4" hidden="1" customHeight="1" outlineLevel="1">
      <c r="A39" s="262" t="s">
        <v>209</v>
      </c>
      <c r="B39" s="256" t="s">
        <v>227</v>
      </c>
      <c r="C39" s="256"/>
      <c r="D39" s="63" t="s">
        <v>237</v>
      </c>
      <c r="E39" s="268"/>
      <c r="F39" s="269"/>
      <c r="G39" s="195"/>
      <c r="H39" s="195"/>
      <c r="I39" s="195"/>
      <c r="J39" s="195"/>
      <c r="K39" s="195"/>
      <c r="L39" s="195"/>
      <c r="M39" s="195"/>
      <c r="N39" s="195"/>
    </row>
    <row r="40" spans="1:14" ht="14.4" hidden="1" customHeight="1" outlineLevel="1">
      <c r="A40" s="262" t="s">
        <v>209</v>
      </c>
      <c r="B40" s="256" t="s">
        <v>154</v>
      </c>
      <c r="C40" s="256"/>
      <c r="D40" s="63" t="s">
        <v>238</v>
      </c>
      <c r="E40" s="268" t="s">
        <v>220</v>
      </c>
      <c r="F40" s="269" t="s">
        <v>239</v>
      </c>
      <c r="G40" s="195"/>
      <c r="H40" s="195"/>
      <c r="I40" s="195"/>
      <c r="J40" s="195"/>
      <c r="K40" s="195"/>
      <c r="L40" s="195"/>
      <c r="M40" s="195"/>
      <c r="N40" s="195"/>
    </row>
    <row r="41" spans="1:14" ht="14.4" hidden="1" customHeight="1">
      <c r="A41" s="262" t="s">
        <v>209</v>
      </c>
      <c r="B41" s="256" t="s">
        <v>154</v>
      </c>
      <c r="C41" s="256"/>
      <c r="D41" s="63" t="s">
        <v>240</v>
      </c>
      <c r="E41" s="268" t="s">
        <v>220</v>
      </c>
      <c r="F41" s="269" t="s">
        <v>239</v>
      </c>
      <c r="G41" s="195"/>
      <c r="H41" s="195"/>
      <c r="I41" s="195"/>
      <c r="J41" s="195"/>
      <c r="K41" s="195"/>
      <c r="L41" s="195"/>
      <c r="M41" s="195"/>
      <c r="N41" s="195"/>
    </row>
    <row r="42" spans="1:14" ht="14.4" hidden="1" customHeight="1">
      <c r="A42" s="262" t="s">
        <v>209</v>
      </c>
      <c r="B42" s="256" t="s">
        <v>154</v>
      </c>
      <c r="C42" s="256"/>
      <c r="D42" s="63" t="s">
        <v>241</v>
      </c>
      <c r="E42" s="268" t="s">
        <v>220</v>
      </c>
      <c r="F42" s="269" t="s">
        <v>239</v>
      </c>
      <c r="G42" s="195"/>
      <c r="H42" s="195"/>
      <c r="I42" s="195"/>
      <c r="J42" s="195"/>
      <c r="K42" s="195"/>
      <c r="L42" s="195"/>
      <c r="M42" s="195"/>
      <c r="N42" s="195"/>
    </row>
    <row r="43" spans="1:14" ht="43.2" hidden="1">
      <c r="A43" s="262" t="s">
        <v>441</v>
      </c>
      <c r="B43" s="257" t="s">
        <v>243</v>
      </c>
      <c r="C43" s="257"/>
      <c r="D43" s="250" t="s">
        <v>244</v>
      </c>
      <c r="E43" s="268"/>
      <c r="F43" s="269"/>
      <c r="G43" s="195"/>
      <c r="H43" s="195"/>
      <c r="I43" s="195"/>
      <c r="J43" s="195"/>
      <c r="K43" s="195"/>
      <c r="L43" s="195"/>
      <c r="M43" s="195"/>
      <c r="N43" s="195"/>
    </row>
    <row r="44" spans="1:14" ht="28.65" hidden="1" customHeight="1">
      <c r="A44" s="262" t="s">
        <v>441</v>
      </c>
      <c r="B44" s="257" t="s">
        <v>243</v>
      </c>
      <c r="C44" s="257"/>
      <c r="D44" s="248" t="s">
        <v>246</v>
      </c>
      <c r="E44" s="268"/>
      <c r="F44" s="269" t="s">
        <v>217</v>
      </c>
      <c r="G44" s="195"/>
      <c r="H44" s="195"/>
      <c r="I44" s="195"/>
      <c r="J44" s="195"/>
      <c r="K44" s="195"/>
      <c r="L44" s="195"/>
      <c r="M44" s="195"/>
      <c r="N44" s="195"/>
    </row>
    <row r="45" spans="1:14" ht="14.4" hidden="1" customHeight="1" outlineLevel="1">
      <c r="A45" s="262" t="s">
        <v>441</v>
      </c>
      <c r="B45" s="257" t="s">
        <v>243</v>
      </c>
      <c r="C45" s="257"/>
      <c r="D45" s="247" t="s">
        <v>247</v>
      </c>
      <c r="E45" s="268"/>
      <c r="F45" s="269" t="s">
        <v>217</v>
      </c>
      <c r="G45" s="195"/>
      <c r="H45" s="195"/>
      <c r="I45" s="195"/>
      <c r="J45" s="195"/>
      <c r="K45" s="195"/>
      <c r="L45" s="195"/>
      <c r="M45" s="195"/>
      <c r="N45" s="195"/>
    </row>
    <row r="46" spans="1:14" ht="14.4" hidden="1" customHeight="1" outlineLevel="1">
      <c r="A46" s="262" t="s">
        <v>441</v>
      </c>
      <c r="B46" s="257" t="s">
        <v>243</v>
      </c>
      <c r="C46" s="257"/>
      <c r="D46" s="248" t="s">
        <v>248</v>
      </c>
      <c r="E46" s="268"/>
      <c r="F46" s="269" t="s">
        <v>217</v>
      </c>
      <c r="G46" s="195"/>
      <c r="H46" s="195"/>
      <c r="I46" s="195"/>
      <c r="J46" s="195"/>
      <c r="K46" s="195"/>
      <c r="L46" s="195"/>
      <c r="M46" s="195"/>
      <c r="N46" s="195"/>
    </row>
    <row r="47" spans="1:14" ht="28.65" hidden="1" customHeight="1" outlineLevel="1">
      <c r="A47" s="262" t="s">
        <v>441</v>
      </c>
      <c r="B47" s="257" t="s">
        <v>243</v>
      </c>
      <c r="C47" s="257"/>
      <c r="D47" s="247" t="s">
        <v>249</v>
      </c>
      <c r="E47" s="268"/>
      <c r="F47" s="269" t="s">
        <v>217</v>
      </c>
      <c r="G47" s="195"/>
      <c r="H47" s="195"/>
      <c r="I47" s="195"/>
      <c r="J47" s="195"/>
      <c r="K47" s="195"/>
      <c r="L47" s="195"/>
      <c r="M47" s="195"/>
      <c r="N47" s="195"/>
    </row>
    <row r="48" spans="1:14" ht="28.65" hidden="1" customHeight="1" outlineLevel="1">
      <c r="A48" s="262" t="s">
        <v>441</v>
      </c>
      <c r="B48" s="257" t="s">
        <v>243</v>
      </c>
      <c r="C48" s="257"/>
      <c r="D48" s="248" t="s">
        <v>250</v>
      </c>
      <c r="E48" s="268"/>
      <c r="F48" s="269" t="s">
        <v>217</v>
      </c>
      <c r="G48" s="195"/>
      <c r="H48" s="195"/>
      <c r="I48" s="195"/>
      <c r="J48" s="195"/>
      <c r="K48" s="195"/>
      <c r="L48" s="195"/>
      <c r="M48" s="195"/>
      <c r="N48" s="195"/>
    </row>
    <row r="49" spans="1:14" ht="28.65" hidden="1" customHeight="1" outlineLevel="1">
      <c r="A49" s="262" t="s">
        <v>441</v>
      </c>
      <c r="B49" s="257" t="s">
        <v>243</v>
      </c>
      <c r="C49" s="257"/>
      <c r="D49" s="247" t="s">
        <v>251</v>
      </c>
      <c r="E49" s="268"/>
      <c r="F49" s="269" t="s">
        <v>220</v>
      </c>
      <c r="G49" s="195"/>
      <c r="H49" s="195"/>
      <c r="I49" s="195"/>
      <c r="J49" s="195"/>
      <c r="K49" s="195"/>
      <c r="L49" s="195"/>
      <c r="M49" s="195"/>
      <c r="N49" s="195"/>
    </row>
    <row r="50" spans="1:14" ht="14.4" hidden="1" customHeight="1" outlineLevel="1">
      <c r="A50" s="262" t="s">
        <v>441</v>
      </c>
      <c r="B50" s="257" t="s">
        <v>243</v>
      </c>
      <c r="C50" s="257"/>
      <c r="D50" s="248" t="s">
        <v>252</v>
      </c>
      <c r="E50" s="268"/>
      <c r="F50" s="269" t="s">
        <v>217</v>
      </c>
      <c r="G50" s="195"/>
      <c r="H50" s="195"/>
      <c r="I50" s="195"/>
      <c r="J50" s="195"/>
      <c r="K50" s="195"/>
      <c r="L50" s="195"/>
      <c r="M50" s="195"/>
      <c r="N50" s="195"/>
    </row>
    <row r="51" spans="1:14" ht="28.65" hidden="1" customHeight="1" outlineLevel="1">
      <c r="A51" s="262" t="s">
        <v>441</v>
      </c>
      <c r="B51" s="257" t="s">
        <v>243</v>
      </c>
      <c r="C51" s="257"/>
      <c r="D51" s="250" t="s">
        <v>253</v>
      </c>
      <c r="E51" s="268"/>
      <c r="F51" s="269"/>
      <c r="G51" s="195"/>
      <c r="H51" s="195"/>
      <c r="I51" s="195"/>
      <c r="J51" s="195"/>
      <c r="K51" s="195"/>
      <c r="L51" s="195"/>
      <c r="M51" s="195"/>
      <c r="N51" s="195"/>
    </row>
    <row r="52" spans="1:14" ht="14.4" hidden="1" customHeight="1" collapsed="1">
      <c r="A52" s="262" t="s">
        <v>441</v>
      </c>
      <c r="B52" s="257" t="s">
        <v>243</v>
      </c>
      <c r="C52" s="257"/>
      <c r="D52" s="247" t="s">
        <v>254</v>
      </c>
      <c r="E52" s="268"/>
      <c r="F52" s="269" t="s">
        <v>213</v>
      </c>
      <c r="G52" s="195"/>
      <c r="H52" s="195"/>
      <c r="I52" s="195"/>
      <c r="J52" s="195"/>
      <c r="K52" s="195"/>
      <c r="L52" s="195"/>
      <c r="M52" s="195"/>
      <c r="N52" s="195"/>
    </row>
    <row r="53" spans="1:14" ht="14.4" hidden="1" customHeight="1" outlineLevel="1">
      <c r="A53" s="262" t="s">
        <v>441</v>
      </c>
      <c r="B53" s="257" t="s">
        <v>243</v>
      </c>
      <c r="C53" s="257"/>
      <c r="D53" s="248" t="s">
        <v>255</v>
      </c>
      <c r="E53" s="268"/>
      <c r="F53" s="269" t="s">
        <v>213</v>
      </c>
      <c r="G53" s="195"/>
      <c r="H53" s="195"/>
      <c r="I53" s="195"/>
      <c r="J53" s="195"/>
      <c r="K53" s="195"/>
      <c r="L53" s="195"/>
      <c r="M53" s="195"/>
      <c r="N53" s="195"/>
    </row>
    <row r="54" spans="1:14" ht="28.65" hidden="1" customHeight="1" outlineLevel="1">
      <c r="A54" s="262" t="s">
        <v>441</v>
      </c>
      <c r="B54" s="257" t="s">
        <v>243</v>
      </c>
      <c r="C54" s="257"/>
      <c r="D54" s="247" t="s">
        <v>256</v>
      </c>
      <c r="E54" s="268"/>
      <c r="F54" s="269" t="s">
        <v>213</v>
      </c>
      <c r="G54" s="195"/>
      <c r="H54" s="195"/>
      <c r="I54" s="195"/>
      <c r="J54" s="195"/>
      <c r="K54" s="195"/>
      <c r="L54" s="195"/>
      <c r="M54" s="195"/>
      <c r="N54" s="195"/>
    </row>
    <row r="55" spans="1:14" ht="28.65" hidden="1" customHeight="1" outlineLevel="1">
      <c r="A55" s="262" t="s">
        <v>441</v>
      </c>
      <c r="B55" s="257" t="s">
        <v>243</v>
      </c>
      <c r="C55" s="257"/>
      <c r="D55" s="250" t="s">
        <v>257</v>
      </c>
      <c r="E55" s="268"/>
      <c r="F55" s="269"/>
      <c r="G55" s="195"/>
      <c r="H55" s="195"/>
      <c r="I55" s="195"/>
      <c r="J55" s="195"/>
      <c r="K55" s="195"/>
      <c r="L55" s="195"/>
      <c r="M55" s="195"/>
      <c r="N55" s="195"/>
    </row>
    <row r="56" spans="1:14" ht="14.4" hidden="1" customHeight="1" collapsed="1">
      <c r="A56" s="262" t="s">
        <v>441</v>
      </c>
      <c r="B56" s="257" t="s">
        <v>243</v>
      </c>
      <c r="C56" s="257"/>
      <c r="D56" s="247" t="s">
        <v>258</v>
      </c>
      <c r="E56" s="268" t="s">
        <v>212</v>
      </c>
      <c r="F56" s="269" t="s">
        <v>220</v>
      </c>
      <c r="G56" s="195"/>
      <c r="H56" s="195"/>
      <c r="I56" s="195"/>
      <c r="J56" s="195"/>
      <c r="K56" s="195"/>
      <c r="L56" s="195"/>
      <c r="M56" s="195"/>
      <c r="N56" s="195"/>
    </row>
    <row r="57" spans="1:14" ht="28.65" hidden="1" customHeight="1" outlineLevel="1">
      <c r="A57" s="262" t="s">
        <v>441</v>
      </c>
      <c r="B57" s="257" t="s">
        <v>243</v>
      </c>
      <c r="C57" s="257"/>
      <c r="D57" s="248" t="s">
        <v>259</v>
      </c>
      <c r="E57" s="268"/>
      <c r="F57" s="269" t="s">
        <v>217</v>
      </c>
      <c r="G57" s="195"/>
      <c r="H57" s="195"/>
      <c r="I57" s="195"/>
      <c r="J57" s="195"/>
      <c r="K57" s="195"/>
      <c r="L57" s="195"/>
      <c r="M57" s="195"/>
      <c r="N57" s="195"/>
    </row>
    <row r="58" spans="1:14" ht="28.65" hidden="1" customHeight="1" outlineLevel="1">
      <c r="A58" s="262" t="s">
        <v>441</v>
      </c>
      <c r="B58" s="257" t="s">
        <v>243</v>
      </c>
      <c r="C58" s="257"/>
      <c r="D58" s="247" t="s">
        <v>260</v>
      </c>
      <c r="E58" s="268"/>
      <c r="F58" s="269" t="s">
        <v>220</v>
      </c>
      <c r="G58" s="195"/>
      <c r="H58" s="195"/>
      <c r="I58" s="195"/>
      <c r="J58" s="195"/>
      <c r="K58" s="195"/>
      <c r="L58" s="195"/>
      <c r="M58" s="195"/>
      <c r="N58" s="195"/>
    </row>
    <row r="59" spans="1:14" ht="43.2" hidden="1" outlineLevel="1">
      <c r="A59" s="262" t="s">
        <v>441</v>
      </c>
      <c r="B59" s="257" t="s">
        <v>243</v>
      </c>
      <c r="C59" s="257"/>
      <c r="D59" s="248" t="s">
        <v>261</v>
      </c>
      <c r="E59" s="268"/>
      <c r="F59" s="269" t="s">
        <v>220</v>
      </c>
      <c r="G59" s="195"/>
      <c r="H59" s="195"/>
      <c r="I59" s="195"/>
      <c r="J59" s="195"/>
      <c r="K59" s="195"/>
      <c r="L59" s="195"/>
      <c r="M59" s="195"/>
      <c r="N59" s="195"/>
    </row>
    <row r="60" spans="1:14" ht="14.4" hidden="1" customHeight="1" outlineLevel="1">
      <c r="A60" s="262" t="s">
        <v>441</v>
      </c>
      <c r="B60" s="257" t="s">
        <v>243</v>
      </c>
      <c r="C60" s="257"/>
      <c r="D60" s="247" t="s">
        <v>262</v>
      </c>
      <c r="E60" s="268"/>
      <c r="F60" s="269" t="s">
        <v>220</v>
      </c>
      <c r="G60" s="195"/>
      <c r="H60" s="195"/>
      <c r="I60" s="195"/>
      <c r="J60" s="195"/>
      <c r="K60" s="195"/>
      <c r="L60" s="195"/>
      <c r="M60" s="195"/>
      <c r="N60" s="195"/>
    </row>
    <row r="61" spans="1:14" ht="28.65" hidden="1" customHeight="1" outlineLevel="1">
      <c r="A61" s="262" t="s">
        <v>441</v>
      </c>
      <c r="B61" s="257" t="s">
        <v>243</v>
      </c>
      <c r="C61" s="257"/>
      <c r="D61" s="248" t="s">
        <v>263</v>
      </c>
      <c r="E61" s="268"/>
      <c r="F61" s="269" t="s">
        <v>220</v>
      </c>
      <c r="G61" s="195"/>
      <c r="H61" s="195"/>
      <c r="I61" s="195"/>
      <c r="J61" s="195"/>
      <c r="K61" s="195"/>
      <c r="L61" s="195"/>
      <c r="M61" s="195"/>
      <c r="N61" s="195"/>
    </row>
    <row r="62" spans="1:14" ht="28.65" hidden="1" customHeight="1" outlineLevel="1">
      <c r="A62" s="262" t="s">
        <v>441</v>
      </c>
      <c r="B62" s="257" t="s">
        <v>243</v>
      </c>
      <c r="C62" s="257"/>
      <c r="D62" s="247" t="s">
        <v>264</v>
      </c>
      <c r="E62" s="268"/>
      <c r="F62" s="269" t="s">
        <v>220</v>
      </c>
      <c r="G62" s="195"/>
      <c r="H62" s="195"/>
      <c r="I62" s="195"/>
      <c r="J62" s="195"/>
      <c r="K62" s="195"/>
      <c r="L62" s="195"/>
      <c r="M62" s="195"/>
      <c r="N62" s="195"/>
    </row>
    <row r="63" spans="1:14" ht="28.65" hidden="1" customHeight="1" outlineLevel="1">
      <c r="A63" s="262" t="s">
        <v>441</v>
      </c>
      <c r="B63" s="257" t="s">
        <v>243</v>
      </c>
      <c r="C63" s="257"/>
      <c r="D63" s="248" t="s">
        <v>74</v>
      </c>
      <c r="E63" s="268"/>
      <c r="F63" s="269" t="s">
        <v>220</v>
      </c>
      <c r="G63" s="195"/>
      <c r="H63" s="195"/>
      <c r="I63" s="195"/>
      <c r="J63" s="195"/>
      <c r="K63" s="195"/>
      <c r="L63" s="195"/>
      <c r="M63" s="195"/>
      <c r="N63" s="195"/>
    </row>
    <row r="64" spans="1:14" ht="28.65" hidden="1" customHeight="1" outlineLevel="1">
      <c r="A64" s="262" t="s">
        <v>441</v>
      </c>
      <c r="B64" s="257" t="s">
        <v>243</v>
      </c>
      <c r="C64" s="257"/>
      <c r="D64" s="247" t="s">
        <v>265</v>
      </c>
      <c r="E64" s="268"/>
      <c r="F64" s="269" t="s">
        <v>220</v>
      </c>
      <c r="G64" s="195"/>
      <c r="H64" s="195"/>
      <c r="I64" s="195"/>
      <c r="J64" s="195"/>
      <c r="K64" s="195"/>
      <c r="L64" s="195"/>
      <c r="M64" s="195"/>
      <c r="N64" s="195"/>
    </row>
    <row r="65" spans="1:14" ht="28.65" hidden="1" customHeight="1" outlineLevel="1">
      <c r="A65" s="262" t="s">
        <v>441</v>
      </c>
      <c r="B65" s="257" t="s">
        <v>243</v>
      </c>
      <c r="C65" s="257"/>
      <c r="D65" s="248" t="s">
        <v>266</v>
      </c>
      <c r="E65" s="268"/>
      <c r="F65" s="269" t="s">
        <v>220</v>
      </c>
      <c r="G65" s="195"/>
      <c r="H65" s="195"/>
      <c r="I65" s="195"/>
      <c r="J65" s="195"/>
      <c r="K65" s="195"/>
      <c r="L65" s="195"/>
      <c r="M65" s="195"/>
      <c r="N65" s="195"/>
    </row>
    <row r="66" spans="1:14" ht="28.65" hidden="1" customHeight="1" outlineLevel="1">
      <c r="A66" s="262" t="s">
        <v>441</v>
      </c>
      <c r="B66" s="257" t="s">
        <v>243</v>
      </c>
      <c r="C66" s="257"/>
      <c r="D66" s="247" t="s">
        <v>267</v>
      </c>
      <c r="E66" s="268"/>
      <c r="F66" s="269" t="s">
        <v>220</v>
      </c>
      <c r="G66" s="195"/>
      <c r="H66" s="195"/>
      <c r="I66" s="195"/>
      <c r="J66" s="195"/>
      <c r="K66" s="195"/>
      <c r="L66" s="195"/>
      <c r="M66" s="195"/>
      <c r="N66" s="195"/>
    </row>
    <row r="67" spans="1:14" ht="28.65" hidden="1" customHeight="1" outlineLevel="1">
      <c r="A67" s="262" t="s">
        <v>441</v>
      </c>
      <c r="B67" s="257" t="s">
        <v>243</v>
      </c>
      <c r="C67" s="257"/>
      <c r="D67" s="248" t="s">
        <v>268</v>
      </c>
      <c r="E67" s="268"/>
      <c r="F67" s="269" t="s">
        <v>220</v>
      </c>
      <c r="G67" s="195"/>
      <c r="H67" s="195"/>
      <c r="I67" s="195"/>
      <c r="J67" s="195"/>
      <c r="K67" s="195"/>
      <c r="L67" s="195"/>
      <c r="M67" s="195"/>
      <c r="N67" s="195"/>
    </row>
    <row r="68" spans="1:14" ht="28.65" hidden="1" customHeight="1" outlineLevel="1">
      <c r="A68" s="262" t="s">
        <v>441</v>
      </c>
      <c r="B68" s="257" t="s">
        <v>243</v>
      </c>
      <c r="C68" s="257"/>
      <c r="D68" s="247" t="s">
        <v>269</v>
      </c>
      <c r="E68" s="268"/>
      <c r="F68" s="269" t="s">
        <v>220</v>
      </c>
      <c r="G68" s="195"/>
      <c r="H68" s="195"/>
      <c r="I68" s="195"/>
      <c r="J68" s="195"/>
      <c r="K68" s="195"/>
      <c r="L68" s="195"/>
      <c r="M68" s="195"/>
      <c r="N68" s="195"/>
    </row>
    <row r="69" spans="1:14" ht="28.65" hidden="1" customHeight="1" outlineLevel="1">
      <c r="A69" s="262" t="s">
        <v>441</v>
      </c>
      <c r="B69" s="257" t="s">
        <v>243</v>
      </c>
      <c r="C69" s="257"/>
      <c r="D69" s="248" t="s">
        <v>270</v>
      </c>
      <c r="E69" s="268"/>
      <c r="F69" s="269" t="s">
        <v>220</v>
      </c>
      <c r="G69" s="195"/>
      <c r="H69" s="195"/>
      <c r="I69" s="195"/>
      <c r="J69" s="195"/>
      <c r="K69" s="195"/>
      <c r="L69" s="195"/>
      <c r="M69" s="195"/>
      <c r="N69" s="195"/>
    </row>
    <row r="70" spans="1:14" ht="28.65" hidden="1" customHeight="1" outlineLevel="1">
      <c r="A70" s="262" t="s">
        <v>441</v>
      </c>
      <c r="B70" s="257" t="s">
        <v>243</v>
      </c>
      <c r="C70" s="257"/>
      <c r="D70" s="247" t="s">
        <v>271</v>
      </c>
      <c r="E70" s="268"/>
      <c r="F70" s="269" t="s">
        <v>220</v>
      </c>
      <c r="G70" s="195"/>
      <c r="H70" s="195"/>
      <c r="I70" s="195"/>
      <c r="J70" s="195"/>
      <c r="K70" s="195"/>
      <c r="L70" s="195"/>
      <c r="M70" s="195"/>
      <c r="N70" s="195"/>
    </row>
    <row r="71" spans="1:14" ht="28.65" hidden="1" customHeight="1" outlineLevel="1">
      <c r="A71" s="262" t="s">
        <v>441</v>
      </c>
      <c r="B71" s="257" t="s">
        <v>243</v>
      </c>
      <c r="C71" s="257"/>
      <c r="D71" s="248" t="s">
        <v>272</v>
      </c>
      <c r="E71" s="268"/>
      <c r="F71" s="269" t="s">
        <v>220</v>
      </c>
      <c r="G71" s="195"/>
      <c r="H71" s="195"/>
      <c r="I71" s="195"/>
      <c r="J71" s="195"/>
      <c r="K71" s="195"/>
      <c r="L71" s="195"/>
      <c r="M71" s="195"/>
      <c r="N71" s="195"/>
    </row>
    <row r="72" spans="1:14" ht="43.2" hidden="1" outlineLevel="1">
      <c r="A72" s="262" t="s">
        <v>441</v>
      </c>
      <c r="B72" s="257" t="s">
        <v>243</v>
      </c>
      <c r="C72" s="257"/>
      <c r="D72" s="247" t="s">
        <v>273</v>
      </c>
      <c r="E72" s="268"/>
      <c r="F72" s="269" t="s">
        <v>220</v>
      </c>
      <c r="G72" s="195"/>
      <c r="H72" s="195"/>
      <c r="I72" s="195"/>
      <c r="J72" s="195"/>
      <c r="K72" s="195"/>
      <c r="L72" s="195"/>
      <c r="M72" s="195"/>
      <c r="N72" s="195"/>
    </row>
    <row r="73" spans="1:14" ht="43.2" hidden="1" outlineLevel="1">
      <c r="A73" s="262" t="s">
        <v>441</v>
      </c>
      <c r="B73" s="257" t="s">
        <v>243</v>
      </c>
      <c r="C73" s="257"/>
      <c r="D73" s="248" t="s">
        <v>274</v>
      </c>
      <c r="E73" s="268"/>
      <c r="F73" s="269" t="s">
        <v>220</v>
      </c>
      <c r="G73" s="195"/>
      <c r="H73" s="195"/>
      <c r="I73" s="195"/>
      <c r="J73" s="195"/>
      <c r="K73" s="195"/>
      <c r="L73" s="195"/>
      <c r="M73" s="195"/>
      <c r="N73" s="195"/>
    </row>
    <row r="74" spans="1:14" ht="43.2" hidden="1" outlineLevel="1">
      <c r="A74" s="262" t="s">
        <v>441</v>
      </c>
      <c r="B74" s="257" t="s">
        <v>243</v>
      </c>
      <c r="C74" s="257"/>
      <c r="D74" s="247" t="s">
        <v>275</v>
      </c>
      <c r="E74" s="268"/>
      <c r="F74" s="269" t="s">
        <v>220</v>
      </c>
      <c r="G74" s="195"/>
      <c r="H74" s="195"/>
      <c r="I74" s="195"/>
      <c r="J74" s="195"/>
      <c r="K74" s="195"/>
      <c r="L74" s="195"/>
      <c r="M74" s="195"/>
      <c r="N74" s="195"/>
    </row>
    <row r="75" spans="1:14" ht="43.2" hidden="1" outlineLevel="1">
      <c r="A75" s="262" t="s">
        <v>441</v>
      </c>
      <c r="B75" s="257" t="s">
        <v>243</v>
      </c>
      <c r="C75" s="257"/>
      <c r="D75" s="248" t="s">
        <v>276</v>
      </c>
      <c r="E75" s="268"/>
      <c r="F75" s="269" t="s">
        <v>220</v>
      </c>
      <c r="G75" s="195"/>
      <c r="H75" s="195"/>
      <c r="I75" s="195"/>
      <c r="J75" s="195"/>
      <c r="K75" s="195"/>
      <c r="L75" s="195"/>
      <c r="M75" s="195"/>
      <c r="N75" s="195"/>
    </row>
    <row r="76" spans="1:14" ht="28.65" hidden="1" customHeight="1" outlineLevel="1">
      <c r="A76" s="262" t="s">
        <v>441</v>
      </c>
      <c r="B76" s="257" t="s">
        <v>243</v>
      </c>
      <c r="C76" s="257"/>
      <c r="D76" s="247" t="s">
        <v>277</v>
      </c>
      <c r="E76" s="268"/>
      <c r="F76" s="269" t="s">
        <v>220</v>
      </c>
      <c r="G76" s="195"/>
      <c r="H76" s="195"/>
      <c r="I76" s="195"/>
      <c r="J76" s="195"/>
      <c r="K76" s="195"/>
      <c r="L76" s="195"/>
      <c r="M76" s="195"/>
      <c r="N76" s="195"/>
    </row>
    <row r="77" spans="1:14" ht="14.4" hidden="1" customHeight="1" outlineLevel="1">
      <c r="A77" s="262" t="s">
        <v>441</v>
      </c>
      <c r="B77" s="257" t="s">
        <v>243</v>
      </c>
      <c r="C77" s="257"/>
      <c r="D77" s="248" t="s">
        <v>278</v>
      </c>
      <c r="E77" s="268"/>
      <c r="F77" s="269" t="s">
        <v>220</v>
      </c>
      <c r="G77" s="195"/>
      <c r="H77" s="195"/>
      <c r="I77" s="195"/>
      <c r="J77" s="195"/>
      <c r="K77" s="195"/>
      <c r="L77" s="195"/>
      <c r="M77" s="195"/>
      <c r="N77" s="195"/>
    </row>
    <row r="78" spans="1:14" ht="14.4" hidden="1" customHeight="1" outlineLevel="1">
      <c r="A78" s="262" t="s">
        <v>441</v>
      </c>
      <c r="B78" s="257" t="s">
        <v>243</v>
      </c>
      <c r="C78" s="257"/>
      <c r="D78" s="250" t="s">
        <v>279</v>
      </c>
      <c r="E78" s="268"/>
      <c r="F78" s="269"/>
      <c r="G78" s="195"/>
      <c r="H78" s="195"/>
      <c r="I78" s="195"/>
      <c r="J78" s="195"/>
      <c r="K78" s="195"/>
      <c r="L78" s="195"/>
      <c r="M78" s="195"/>
      <c r="N78" s="195"/>
    </row>
    <row r="79" spans="1:14" ht="28.65" hidden="1" customHeight="1" collapsed="1">
      <c r="A79" s="262" t="s">
        <v>441</v>
      </c>
      <c r="B79" s="257" t="s">
        <v>243</v>
      </c>
      <c r="C79" s="257"/>
      <c r="D79" s="247" t="s">
        <v>280</v>
      </c>
      <c r="E79" s="268"/>
      <c r="F79" s="269" t="s">
        <v>217</v>
      </c>
      <c r="G79" s="195"/>
      <c r="H79" s="195"/>
      <c r="I79" s="195"/>
      <c r="J79" s="195"/>
      <c r="K79" s="195"/>
      <c r="L79" s="195"/>
      <c r="M79" s="195"/>
      <c r="N79" s="195"/>
    </row>
    <row r="80" spans="1:14" ht="28.65" hidden="1" customHeight="1" outlineLevel="1">
      <c r="A80" s="262" t="s">
        <v>441</v>
      </c>
      <c r="B80" s="257" t="s">
        <v>243</v>
      </c>
      <c r="C80" s="257"/>
      <c r="D80" s="248" t="s">
        <v>281</v>
      </c>
      <c r="E80" s="268"/>
      <c r="F80" s="269" t="s">
        <v>217</v>
      </c>
      <c r="G80" s="195"/>
      <c r="H80" s="195"/>
      <c r="I80" s="195"/>
      <c r="J80" s="195"/>
      <c r="K80" s="195"/>
      <c r="L80" s="195"/>
      <c r="M80" s="195"/>
      <c r="N80" s="195"/>
    </row>
    <row r="81" spans="1:14" ht="28.65" hidden="1" customHeight="1" outlineLevel="1">
      <c r="A81" s="262" t="s">
        <v>441</v>
      </c>
      <c r="B81" s="257" t="s">
        <v>243</v>
      </c>
      <c r="C81" s="257"/>
      <c r="D81" s="247" t="s">
        <v>282</v>
      </c>
      <c r="E81" s="268"/>
      <c r="F81" s="269" t="s">
        <v>217</v>
      </c>
      <c r="G81" s="195"/>
      <c r="H81" s="195"/>
      <c r="I81" s="195"/>
      <c r="J81" s="195"/>
      <c r="K81" s="195"/>
      <c r="L81" s="195"/>
      <c r="M81" s="195"/>
      <c r="N81" s="195"/>
    </row>
    <row r="82" spans="1:14" ht="28.65" hidden="1" customHeight="1" outlineLevel="1">
      <c r="A82" s="262" t="s">
        <v>441</v>
      </c>
      <c r="B82" s="257" t="s">
        <v>243</v>
      </c>
      <c r="C82" s="257"/>
      <c r="D82" s="250" t="s">
        <v>283</v>
      </c>
      <c r="E82" s="268"/>
      <c r="F82" s="269"/>
      <c r="G82" s="195"/>
      <c r="H82" s="195"/>
      <c r="I82" s="195"/>
      <c r="J82" s="195"/>
      <c r="K82" s="195"/>
      <c r="L82" s="195"/>
      <c r="M82" s="195"/>
      <c r="N82" s="195"/>
    </row>
    <row r="83" spans="1:14" ht="28.65" hidden="1" customHeight="1" collapsed="1">
      <c r="A83" s="262" t="s">
        <v>441</v>
      </c>
      <c r="B83" s="257" t="s">
        <v>243</v>
      </c>
      <c r="C83" s="257"/>
      <c r="D83" s="247" t="s">
        <v>184</v>
      </c>
      <c r="E83" s="268"/>
      <c r="F83" s="269" t="s">
        <v>217</v>
      </c>
      <c r="G83" s="195"/>
      <c r="H83" s="195"/>
      <c r="I83" s="195"/>
      <c r="J83" s="195"/>
      <c r="K83" s="195"/>
      <c r="L83" s="195"/>
      <c r="M83" s="195"/>
      <c r="N83" s="195"/>
    </row>
    <row r="84" spans="1:14" ht="14.4" hidden="1" customHeight="1" outlineLevel="1">
      <c r="A84" s="262" t="s">
        <v>441</v>
      </c>
      <c r="B84" s="257" t="s">
        <v>243</v>
      </c>
      <c r="C84" s="257"/>
      <c r="D84" s="248" t="s">
        <v>284</v>
      </c>
      <c r="E84" s="268"/>
      <c r="F84" s="269" t="s">
        <v>217</v>
      </c>
      <c r="G84" s="195"/>
      <c r="H84" s="195"/>
      <c r="I84" s="195"/>
      <c r="J84" s="195"/>
      <c r="K84" s="195"/>
      <c r="L84" s="195"/>
      <c r="M84" s="195"/>
      <c r="N84" s="195"/>
    </row>
    <row r="85" spans="1:14" ht="14.4" hidden="1" customHeight="1" outlineLevel="1">
      <c r="A85" s="262" t="s">
        <v>441</v>
      </c>
      <c r="B85" s="257" t="s">
        <v>243</v>
      </c>
      <c r="C85" s="257"/>
      <c r="D85" s="250" t="s">
        <v>285</v>
      </c>
      <c r="E85" s="268"/>
      <c r="F85" s="269"/>
      <c r="G85" s="195"/>
      <c r="H85" s="195"/>
      <c r="I85" s="195"/>
      <c r="J85" s="195"/>
      <c r="K85" s="195"/>
      <c r="L85" s="195"/>
      <c r="M85" s="195"/>
      <c r="N85" s="195"/>
    </row>
    <row r="86" spans="1:14" ht="14.4" hidden="1" customHeight="1" collapsed="1">
      <c r="A86" s="262" t="s">
        <v>441</v>
      </c>
      <c r="B86" s="257" t="s">
        <v>243</v>
      </c>
      <c r="C86" s="257"/>
      <c r="D86" s="247" t="s">
        <v>286</v>
      </c>
      <c r="E86" s="268"/>
      <c r="F86" s="269" t="s">
        <v>217</v>
      </c>
      <c r="G86" s="195"/>
      <c r="H86" s="195"/>
      <c r="I86" s="195"/>
      <c r="J86" s="195"/>
      <c r="K86" s="195"/>
      <c r="L86" s="195"/>
      <c r="M86" s="195"/>
      <c r="N86" s="195"/>
    </row>
    <row r="87" spans="1:14" ht="28.65" hidden="1" customHeight="1" outlineLevel="1">
      <c r="A87" s="262" t="s">
        <v>441</v>
      </c>
      <c r="B87" s="257" t="s">
        <v>243</v>
      </c>
      <c r="C87" s="257"/>
      <c r="D87" s="248" t="s">
        <v>287</v>
      </c>
      <c r="E87" s="268"/>
      <c r="F87" s="269" t="s">
        <v>217</v>
      </c>
      <c r="G87" s="195"/>
      <c r="H87" s="195"/>
      <c r="I87" s="195"/>
      <c r="J87" s="195"/>
      <c r="K87" s="195"/>
      <c r="L87" s="195"/>
      <c r="M87" s="195"/>
      <c r="N87" s="195"/>
    </row>
    <row r="88" spans="1:14" ht="28.65" hidden="1" customHeight="1" outlineLevel="1">
      <c r="A88" s="262" t="s">
        <v>441</v>
      </c>
      <c r="B88" s="257" t="s">
        <v>243</v>
      </c>
      <c r="C88" s="257"/>
      <c r="D88" s="247" t="s">
        <v>288</v>
      </c>
      <c r="E88" s="268"/>
      <c r="F88" s="269" t="s">
        <v>217</v>
      </c>
      <c r="G88" s="195"/>
      <c r="H88" s="195"/>
      <c r="I88" s="195"/>
      <c r="J88" s="195"/>
      <c r="K88" s="195"/>
      <c r="L88" s="195"/>
      <c r="M88" s="195"/>
      <c r="N88" s="195"/>
    </row>
    <row r="89" spans="1:14" ht="28.65" hidden="1" customHeight="1" outlineLevel="1">
      <c r="A89" s="262" t="s">
        <v>441</v>
      </c>
      <c r="B89" s="257" t="s">
        <v>243</v>
      </c>
      <c r="C89" s="257"/>
      <c r="D89" s="250" t="s">
        <v>289</v>
      </c>
      <c r="E89" s="268"/>
      <c r="F89" s="269"/>
      <c r="G89" s="195"/>
      <c r="H89" s="195"/>
      <c r="I89" s="195"/>
      <c r="J89" s="195"/>
      <c r="K89" s="195"/>
      <c r="L89" s="195"/>
      <c r="M89" s="195"/>
      <c r="N89" s="195"/>
    </row>
    <row r="90" spans="1:14" ht="28.65" hidden="1" customHeight="1" collapsed="1">
      <c r="A90" s="262" t="s">
        <v>441</v>
      </c>
      <c r="B90" s="257" t="s">
        <v>243</v>
      </c>
      <c r="C90" s="257"/>
      <c r="D90" s="247" t="s">
        <v>290</v>
      </c>
      <c r="E90" s="268"/>
      <c r="F90" s="269" t="s">
        <v>213</v>
      </c>
      <c r="G90" s="195"/>
      <c r="H90" s="195"/>
      <c r="I90" s="195"/>
      <c r="J90" s="195"/>
      <c r="K90" s="195"/>
      <c r="L90" s="195"/>
      <c r="M90" s="195"/>
      <c r="N90" s="195"/>
    </row>
    <row r="91" spans="1:14" ht="28.65" hidden="1" customHeight="1" outlineLevel="1">
      <c r="A91" s="262" t="s">
        <v>441</v>
      </c>
      <c r="B91" s="257" t="s">
        <v>243</v>
      </c>
      <c r="C91" s="257"/>
      <c r="D91" s="250" t="s">
        <v>291</v>
      </c>
      <c r="E91" s="268"/>
      <c r="F91" s="269"/>
      <c r="G91" s="195"/>
      <c r="H91" s="195"/>
      <c r="I91" s="195"/>
      <c r="J91" s="195"/>
      <c r="K91" s="195"/>
      <c r="L91" s="195"/>
      <c r="M91" s="195"/>
      <c r="N91" s="195"/>
    </row>
    <row r="92" spans="1:14" ht="28.65" hidden="1" customHeight="1" collapsed="1">
      <c r="A92" s="262" t="s">
        <v>441</v>
      </c>
      <c r="B92" s="257" t="s">
        <v>243</v>
      </c>
      <c r="C92" s="257"/>
      <c r="D92" s="247" t="s">
        <v>292</v>
      </c>
      <c r="E92" s="268"/>
      <c r="F92" s="269" t="s">
        <v>217</v>
      </c>
      <c r="G92" s="195"/>
      <c r="H92" s="195"/>
      <c r="I92" s="195"/>
      <c r="J92" s="195"/>
      <c r="K92" s="195"/>
      <c r="L92" s="195"/>
      <c r="M92" s="195"/>
      <c r="N92" s="195"/>
    </row>
    <row r="93" spans="1:14" ht="28.65" hidden="1" customHeight="1" outlineLevel="1">
      <c r="A93" s="262" t="s">
        <v>441</v>
      </c>
      <c r="B93" s="257" t="s">
        <v>243</v>
      </c>
      <c r="C93" s="257"/>
      <c r="D93" s="248" t="s">
        <v>293</v>
      </c>
      <c r="E93" s="268"/>
      <c r="F93" s="269" t="s">
        <v>220</v>
      </c>
      <c r="G93" s="195"/>
      <c r="H93" s="195"/>
      <c r="I93" s="195"/>
      <c r="J93" s="195"/>
      <c r="K93" s="195"/>
      <c r="L93" s="195"/>
      <c r="M93" s="195"/>
      <c r="N93" s="195"/>
    </row>
    <row r="94" spans="1:14" ht="28.65" hidden="1" customHeight="1" outlineLevel="1">
      <c r="A94" s="262" t="s">
        <v>441</v>
      </c>
      <c r="B94" s="257" t="s">
        <v>243</v>
      </c>
      <c r="C94" s="257"/>
      <c r="D94" s="247" t="s">
        <v>294</v>
      </c>
      <c r="E94" s="268"/>
      <c r="F94" s="269" t="s">
        <v>220</v>
      </c>
      <c r="G94" s="195"/>
      <c r="H94" s="195"/>
      <c r="I94" s="195"/>
      <c r="J94" s="195"/>
      <c r="K94" s="195"/>
      <c r="L94" s="195"/>
      <c r="M94" s="195"/>
      <c r="N94" s="195"/>
    </row>
    <row r="95" spans="1:14" ht="43.2" hidden="1" outlineLevel="1">
      <c r="A95" s="262" t="s">
        <v>441</v>
      </c>
      <c r="B95" s="257" t="s">
        <v>243</v>
      </c>
      <c r="C95" s="257"/>
      <c r="D95" s="248" t="s">
        <v>295</v>
      </c>
      <c r="E95" s="268"/>
      <c r="F95" s="269" t="s">
        <v>220</v>
      </c>
      <c r="G95" s="195"/>
      <c r="H95" s="195"/>
      <c r="I95" s="195"/>
      <c r="J95" s="195"/>
      <c r="K95" s="195"/>
      <c r="L95" s="195"/>
      <c r="M95" s="195"/>
      <c r="N95" s="195"/>
    </row>
    <row r="96" spans="1:14" ht="28.65" hidden="1" customHeight="1" outlineLevel="1">
      <c r="A96" s="262" t="s">
        <v>441</v>
      </c>
      <c r="B96" s="257" t="s">
        <v>243</v>
      </c>
      <c r="C96" s="257"/>
      <c r="D96" s="247" t="s">
        <v>296</v>
      </c>
      <c r="E96" s="268"/>
      <c r="F96" s="269" t="s">
        <v>217</v>
      </c>
      <c r="G96" s="195"/>
      <c r="H96" s="195"/>
      <c r="I96" s="195"/>
      <c r="J96" s="195"/>
      <c r="K96" s="195"/>
      <c r="L96" s="195"/>
      <c r="M96" s="195"/>
      <c r="N96" s="195"/>
    </row>
    <row r="97" spans="1:14" ht="28.65" hidden="1" customHeight="1" outlineLevel="1">
      <c r="A97" s="262" t="s">
        <v>441</v>
      </c>
      <c r="B97" s="257" t="s">
        <v>243</v>
      </c>
      <c r="C97" s="257"/>
      <c r="D97" s="248" t="s">
        <v>297</v>
      </c>
      <c r="E97" s="268"/>
      <c r="F97" s="269" t="s">
        <v>220</v>
      </c>
      <c r="G97" s="195"/>
      <c r="H97" s="195"/>
      <c r="I97" s="195"/>
      <c r="J97" s="195"/>
      <c r="K97" s="195"/>
      <c r="L97" s="195"/>
      <c r="M97" s="195"/>
      <c r="N97" s="195"/>
    </row>
    <row r="98" spans="1:14" ht="28.65" hidden="1" customHeight="1" outlineLevel="1">
      <c r="A98" s="262" t="s">
        <v>441</v>
      </c>
      <c r="B98" s="257" t="s">
        <v>243</v>
      </c>
      <c r="C98" s="257"/>
      <c r="D98" s="247" t="s">
        <v>109</v>
      </c>
      <c r="E98" s="268"/>
      <c r="F98" s="269" t="s">
        <v>220</v>
      </c>
      <c r="G98" s="195"/>
      <c r="H98" s="195"/>
      <c r="I98" s="195"/>
      <c r="J98" s="195"/>
      <c r="K98" s="195"/>
      <c r="L98" s="195"/>
      <c r="M98" s="195"/>
      <c r="N98" s="195"/>
    </row>
    <row r="99" spans="1:14" ht="28.65" hidden="1" customHeight="1" outlineLevel="1">
      <c r="A99" s="262" t="s">
        <v>441</v>
      </c>
      <c r="B99" s="257" t="s">
        <v>243</v>
      </c>
      <c r="C99" s="257"/>
      <c r="D99" s="250" t="s">
        <v>298</v>
      </c>
      <c r="E99" s="268"/>
      <c r="F99" s="269"/>
      <c r="G99" s="195"/>
      <c r="H99" s="195"/>
      <c r="I99" s="195"/>
      <c r="J99" s="195"/>
      <c r="K99" s="195"/>
      <c r="L99" s="195"/>
      <c r="M99" s="195"/>
      <c r="N99" s="195"/>
    </row>
    <row r="100" spans="1:14" ht="28.65" hidden="1" customHeight="1" collapsed="1">
      <c r="A100" s="262" t="s">
        <v>441</v>
      </c>
      <c r="B100" s="257" t="s">
        <v>243</v>
      </c>
      <c r="C100" s="257"/>
      <c r="D100" s="247" t="s">
        <v>299</v>
      </c>
      <c r="E100" s="268"/>
      <c r="F100" s="269" t="s">
        <v>220</v>
      </c>
      <c r="G100" s="195"/>
      <c r="H100" s="195"/>
      <c r="I100" s="195"/>
      <c r="J100" s="195"/>
      <c r="K100" s="195"/>
      <c r="L100" s="195"/>
      <c r="M100" s="195"/>
      <c r="N100" s="195"/>
    </row>
    <row r="101" spans="1:14" ht="14.4" hidden="1" customHeight="1" outlineLevel="1">
      <c r="A101" s="262" t="s">
        <v>441</v>
      </c>
      <c r="B101" s="257" t="s">
        <v>243</v>
      </c>
      <c r="C101" s="257"/>
      <c r="D101" s="250" t="s">
        <v>300</v>
      </c>
      <c r="E101" s="268"/>
      <c r="F101" s="269"/>
      <c r="G101" s="195"/>
      <c r="H101" s="195"/>
      <c r="I101" s="195"/>
      <c r="J101" s="195"/>
      <c r="K101" s="195"/>
      <c r="L101" s="195"/>
      <c r="M101" s="195"/>
      <c r="N101" s="195"/>
    </row>
    <row r="102" spans="1:14" ht="28.65" hidden="1" customHeight="1" collapsed="1">
      <c r="A102" s="262" t="s">
        <v>441</v>
      </c>
      <c r="B102" s="257" t="s">
        <v>243</v>
      </c>
      <c r="C102" s="257"/>
      <c r="D102" s="247" t="s">
        <v>301</v>
      </c>
      <c r="E102" s="268"/>
      <c r="F102" s="269" t="s">
        <v>217</v>
      </c>
      <c r="G102" s="195"/>
      <c r="H102" s="195"/>
      <c r="I102" s="195"/>
      <c r="J102" s="195"/>
      <c r="K102" s="195"/>
      <c r="L102" s="195"/>
      <c r="M102" s="195"/>
      <c r="N102" s="195"/>
    </row>
    <row r="103" spans="1:14" ht="14.4" hidden="1" customHeight="1" outlineLevel="1">
      <c r="A103" s="262" t="s">
        <v>441</v>
      </c>
      <c r="B103" s="257" t="s">
        <v>243</v>
      </c>
      <c r="C103" s="257"/>
      <c r="D103" s="250" t="s">
        <v>442</v>
      </c>
      <c r="E103" s="268"/>
      <c r="F103" s="269"/>
      <c r="G103" s="195"/>
      <c r="H103" s="195"/>
      <c r="I103" s="195"/>
      <c r="J103" s="195"/>
      <c r="K103" s="195"/>
      <c r="L103" s="195"/>
      <c r="M103" s="195"/>
      <c r="N103" s="195"/>
    </row>
    <row r="104" spans="1:14" ht="14.4" hidden="1" customHeight="1" collapsed="1">
      <c r="A104" s="262" t="s">
        <v>441</v>
      </c>
      <c r="B104" s="257" t="s">
        <v>243</v>
      </c>
      <c r="C104" s="257"/>
      <c r="D104" s="251" t="s">
        <v>302</v>
      </c>
      <c r="E104" s="268"/>
      <c r="F104" s="269"/>
      <c r="G104" s="195"/>
      <c r="H104" s="195"/>
      <c r="I104" s="195"/>
      <c r="J104" s="195"/>
      <c r="K104" s="195"/>
      <c r="L104" s="195"/>
      <c r="M104" s="195"/>
      <c r="N104" s="195"/>
    </row>
    <row r="105" spans="1:14" ht="28.65" hidden="1" customHeight="1" outlineLevel="1">
      <c r="A105" s="262" t="s">
        <v>441</v>
      </c>
      <c r="B105" s="257" t="s">
        <v>243</v>
      </c>
      <c r="C105" s="257"/>
      <c r="D105" s="104" t="s">
        <v>246</v>
      </c>
      <c r="E105" s="268"/>
      <c r="F105" s="269"/>
      <c r="G105" s="195"/>
      <c r="H105" s="195"/>
      <c r="I105" s="195"/>
      <c r="J105" s="195"/>
      <c r="K105" s="195"/>
      <c r="L105" s="195"/>
      <c r="M105" s="195"/>
      <c r="N105" s="195"/>
    </row>
    <row r="106" spans="1:14" ht="14.4" hidden="1" customHeight="1" outlineLevel="1">
      <c r="A106" s="262" t="s">
        <v>441</v>
      </c>
      <c r="B106" s="257" t="s">
        <v>303</v>
      </c>
      <c r="C106" s="257"/>
      <c r="D106" s="249" t="s">
        <v>304</v>
      </c>
      <c r="E106" s="268"/>
      <c r="F106" s="269"/>
      <c r="G106" s="195"/>
      <c r="H106" s="195"/>
      <c r="I106" s="195"/>
      <c r="J106" s="195"/>
      <c r="K106" s="195"/>
      <c r="L106" s="195"/>
      <c r="M106" s="195"/>
      <c r="N106" s="195"/>
    </row>
    <row r="107" spans="1:14" ht="14.4" hidden="1" customHeight="1" collapsed="1">
      <c r="A107" s="262" t="s">
        <v>441</v>
      </c>
      <c r="B107" s="257" t="s">
        <v>303</v>
      </c>
      <c r="C107" s="257"/>
      <c r="D107" s="249" t="s">
        <v>305</v>
      </c>
      <c r="E107" s="268"/>
      <c r="F107" s="269"/>
      <c r="G107" s="195"/>
      <c r="H107" s="195"/>
      <c r="I107" s="195"/>
      <c r="J107" s="195"/>
      <c r="K107" s="195"/>
      <c r="L107" s="195"/>
      <c r="M107" s="195"/>
      <c r="N107" s="195"/>
    </row>
    <row r="108" spans="1:14" ht="14.4" hidden="1" customHeight="1">
      <c r="A108" s="262" t="s">
        <v>441</v>
      </c>
      <c r="B108" s="257" t="s">
        <v>303</v>
      </c>
      <c r="C108" s="257"/>
      <c r="D108" s="249" t="s">
        <v>306</v>
      </c>
      <c r="E108" s="268"/>
      <c r="F108" s="269"/>
      <c r="G108" s="195"/>
      <c r="H108" s="195"/>
      <c r="I108" s="195"/>
      <c r="J108" s="195"/>
      <c r="K108" s="195"/>
      <c r="L108" s="195"/>
      <c r="M108" s="195"/>
      <c r="N108" s="195"/>
    </row>
    <row r="109" spans="1:14" ht="14.4" hidden="1" customHeight="1">
      <c r="A109" s="262" t="s">
        <v>441</v>
      </c>
      <c r="B109" s="257" t="s">
        <v>303</v>
      </c>
      <c r="C109" s="257"/>
      <c r="D109" s="249" t="s">
        <v>307</v>
      </c>
      <c r="E109" s="268"/>
      <c r="F109" s="269"/>
      <c r="G109" s="195"/>
      <c r="H109" s="195"/>
      <c r="I109" s="195"/>
      <c r="J109" s="195"/>
      <c r="K109" s="195"/>
      <c r="L109" s="195"/>
      <c r="M109" s="195"/>
      <c r="N109" s="195"/>
    </row>
    <row r="110" spans="1:14" ht="14.4" hidden="1" customHeight="1">
      <c r="A110" s="262" t="s">
        <v>441</v>
      </c>
      <c r="B110" s="257" t="s">
        <v>303</v>
      </c>
      <c r="C110" s="257"/>
      <c r="D110" s="249" t="s">
        <v>308</v>
      </c>
      <c r="E110" s="268"/>
      <c r="F110" s="269"/>
      <c r="G110" s="195"/>
      <c r="H110" s="195"/>
      <c r="I110" s="195"/>
      <c r="J110" s="195"/>
      <c r="K110" s="195"/>
      <c r="L110" s="195"/>
      <c r="M110" s="195"/>
      <c r="N110" s="195"/>
    </row>
    <row r="111" spans="1:14" ht="14.4" hidden="1" customHeight="1">
      <c r="A111" s="262" t="s">
        <v>441</v>
      </c>
      <c r="B111" s="257" t="s">
        <v>303</v>
      </c>
      <c r="C111" s="257"/>
      <c r="D111" s="249" t="s">
        <v>309</v>
      </c>
      <c r="E111" s="268"/>
      <c r="F111" s="269"/>
      <c r="G111" s="195"/>
      <c r="H111" s="195"/>
      <c r="I111" s="195"/>
      <c r="J111" s="195"/>
      <c r="K111" s="195"/>
      <c r="L111" s="195"/>
      <c r="M111" s="195"/>
      <c r="N111" s="195"/>
    </row>
    <row r="112" spans="1:14" ht="14.4" hidden="1" customHeight="1">
      <c r="A112" s="262" t="s">
        <v>441</v>
      </c>
      <c r="B112" s="257" t="s">
        <v>303</v>
      </c>
      <c r="C112" s="257"/>
      <c r="D112" s="249" t="s">
        <v>310</v>
      </c>
      <c r="E112" s="268"/>
      <c r="F112" s="269"/>
      <c r="G112" s="195"/>
      <c r="H112" s="195"/>
      <c r="I112" s="195"/>
      <c r="J112" s="195"/>
      <c r="K112" s="195"/>
      <c r="L112" s="195"/>
      <c r="M112" s="195"/>
      <c r="N112" s="195"/>
    </row>
    <row r="113" spans="1:14" ht="14.4" hidden="1" customHeight="1">
      <c r="A113" s="262" t="s">
        <v>441</v>
      </c>
      <c r="B113" s="257" t="s">
        <v>303</v>
      </c>
      <c r="C113" s="257"/>
      <c r="D113" s="249" t="s">
        <v>311</v>
      </c>
      <c r="E113" s="268"/>
      <c r="F113" s="269"/>
      <c r="G113" s="195"/>
      <c r="H113" s="195"/>
      <c r="I113" s="195"/>
      <c r="J113" s="195"/>
      <c r="K113" s="195"/>
      <c r="L113" s="195"/>
      <c r="M113" s="195"/>
      <c r="N113" s="195"/>
    </row>
    <row r="114" spans="1:14" ht="14.4" hidden="1" customHeight="1">
      <c r="A114" s="262" t="s">
        <v>441</v>
      </c>
      <c r="B114" s="257" t="s">
        <v>303</v>
      </c>
      <c r="C114" s="257"/>
      <c r="D114" s="249" t="s">
        <v>312</v>
      </c>
      <c r="E114" s="268"/>
      <c r="F114" s="269"/>
      <c r="G114" s="195"/>
      <c r="H114" s="195"/>
      <c r="I114" s="195"/>
      <c r="J114" s="195"/>
      <c r="K114" s="195"/>
      <c r="L114" s="195"/>
      <c r="M114" s="195"/>
      <c r="N114" s="195"/>
    </row>
    <row r="115" spans="1:14" ht="14.4" hidden="1" customHeight="1">
      <c r="A115" s="262" t="s">
        <v>441</v>
      </c>
      <c r="B115" s="258" t="s">
        <v>313</v>
      </c>
      <c r="C115" s="223" t="s">
        <v>314</v>
      </c>
      <c r="D115" s="63" t="s">
        <v>15</v>
      </c>
      <c r="E115" s="268"/>
      <c r="F115" s="269"/>
      <c r="G115" s="195"/>
      <c r="H115" s="195"/>
      <c r="I115" s="195"/>
      <c r="J115" s="195"/>
      <c r="K115" s="195"/>
      <c r="L115" s="195"/>
      <c r="M115" s="195"/>
      <c r="N115" s="195"/>
    </row>
    <row r="116" spans="1:14" ht="14.4" hidden="1" customHeight="1">
      <c r="A116" s="262" t="s">
        <v>441</v>
      </c>
      <c r="B116" s="258" t="s">
        <v>313</v>
      </c>
      <c r="C116" s="256" t="s">
        <v>316</v>
      </c>
      <c r="D116" s="63" t="s">
        <v>317</v>
      </c>
      <c r="E116" s="268" t="s">
        <v>212</v>
      </c>
      <c r="F116" s="269" t="s">
        <v>217</v>
      </c>
      <c r="G116" s="195"/>
      <c r="H116" s="195"/>
      <c r="I116" s="195"/>
      <c r="J116" s="195"/>
      <c r="K116" s="195"/>
      <c r="L116" s="195"/>
      <c r="M116" s="195"/>
      <c r="N116" s="195"/>
    </row>
    <row r="117" spans="1:14" ht="14.4" hidden="1" customHeight="1">
      <c r="A117" s="262" t="s">
        <v>441</v>
      </c>
      <c r="B117" s="258" t="s">
        <v>313</v>
      </c>
      <c r="C117" s="256" t="s">
        <v>316</v>
      </c>
      <c r="D117" s="63" t="s">
        <v>318</v>
      </c>
      <c r="E117" s="268" t="s">
        <v>212</v>
      </c>
      <c r="F117" s="269" t="s">
        <v>217</v>
      </c>
      <c r="G117" s="195"/>
      <c r="H117" s="195"/>
      <c r="I117" s="195"/>
      <c r="J117" s="195"/>
      <c r="K117" s="195"/>
      <c r="L117" s="195"/>
      <c r="M117" s="195"/>
      <c r="N117" s="195"/>
    </row>
    <row r="118" spans="1:14" ht="14.4" hidden="1" customHeight="1">
      <c r="A118" s="262" t="s">
        <v>441</v>
      </c>
      <c r="B118" s="258" t="s">
        <v>313</v>
      </c>
      <c r="C118" s="256" t="s">
        <v>316</v>
      </c>
      <c r="D118" s="63" t="s">
        <v>319</v>
      </c>
      <c r="E118" s="268"/>
      <c r="F118" s="269" t="s">
        <v>217</v>
      </c>
      <c r="G118" s="195"/>
      <c r="H118" s="195"/>
      <c r="I118" s="195"/>
      <c r="J118" s="195"/>
      <c r="K118" s="195"/>
      <c r="L118" s="195"/>
      <c r="M118" s="195"/>
      <c r="N118" s="195"/>
    </row>
    <row r="119" spans="1:14" ht="14.4" hidden="1" customHeight="1">
      <c r="A119" s="262" t="s">
        <v>441</v>
      </c>
      <c r="B119" s="258" t="s">
        <v>313</v>
      </c>
      <c r="C119" s="256" t="s">
        <v>320</v>
      </c>
      <c r="D119" s="63" t="s">
        <v>321</v>
      </c>
      <c r="E119" s="268" t="s">
        <v>212</v>
      </c>
      <c r="F119" s="269" t="s">
        <v>220</v>
      </c>
      <c r="G119" s="195"/>
      <c r="H119" s="195"/>
      <c r="I119" s="195"/>
      <c r="J119" s="195"/>
      <c r="K119" s="195"/>
      <c r="L119" s="195"/>
      <c r="M119" s="195"/>
      <c r="N119" s="195"/>
    </row>
    <row r="120" spans="1:14" ht="14.4" hidden="1" customHeight="1">
      <c r="A120" s="262" t="s">
        <v>441</v>
      </c>
      <c r="B120" s="258" t="s">
        <v>313</v>
      </c>
      <c r="C120" s="256" t="s">
        <v>320</v>
      </c>
      <c r="D120" s="63" t="s">
        <v>322</v>
      </c>
      <c r="E120" s="268"/>
      <c r="F120" s="269" t="s">
        <v>220</v>
      </c>
      <c r="G120" s="195"/>
      <c r="H120" s="195"/>
      <c r="I120" s="195"/>
      <c r="J120" s="195"/>
      <c r="K120" s="195"/>
      <c r="L120" s="195"/>
      <c r="M120" s="195"/>
      <c r="N120" s="195"/>
    </row>
    <row r="121" spans="1:14" ht="14.4" hidden="1" customHeight="1">
      <c r="A121" s="262" t="s">
        <v>441</v>
      </c>
      <c r="B121" s="258" t="s">
        <v>313</v>
      </c>
      <c r="C121" s="256" t="s">
        <v>320</v>
      </c>
      <c r="D121" s="63" t="s">
        <v>323</v>
      </c>
      <c r="E121" s="268" t="s">
        <v>212</v>
      </c>
      <c r="F121" s="269" t="s">
        <v>217</v>
      </c>
      <c r="G121" s="195"/>
      <c r="H121" s="195"/>
      <c r="I121" s="195"/>
      <c r="J121" s="195"/>
      <c r="K121" s="195"/>
      <c r="L121" s="195"/>
      <c r="M121" s="195"/>
      <c r="N121" s="195"/>
    </row>
    <row r="122" spans="1:14" ht="14.4" hidden="1" customHeight="1">
      <c r="A122" s="262" t="s">
        <v>441</v>
      </c>
      <c r="B122" s="258" t="s">
        <v>313</v>
      </c>
      <c r="C122" s="256" t="s">
        <v>324</v>
      </c>
      <c r="D122" s="256" t="s">
        <v>324</v>
      </c>
      <c r="E122" s="120"/>
      <c r="F122" s="119"/>
      <c r="G122" s="195"/>
      <c r="H122" s="195"/>
      <c r="I122" s="195"/>
      <c r="J122" s="195"/>
      <c r="K122" s="195"/>
      <c r="L122" s="195"/>
      <c r="M122" s="195"/>
      <c r="N122" s="195"/>
    </row>
    <row r="123" spans="1:14">
      <c r="G123" s="148"/>
      <c r="H123" s="148"/>
      <c r="I123" s="148"/>
      <c r="J123" s="148"/>
      <c r="K123" s="148"/>
      <c r="L123" s="148"/>
      <c r="M123" s="148"/>
      <c r="N123" s="148"/>
    </row>
  </sheetData>
  <dataConsolidate/>
  <mergeCells count="1">
    <mergeCell ref="G15:M15"/>
  </mergeCells>
  <pageMargins left="0.7" right="0.7" top="0.75" bottom="0.75" header="0.3" footer="0.3"/>
  <pageSetup paperSize="9" orientation="portrait" horizontalDpi="4294967293"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3B420-751A-4E1C-BA57-94E5C377026A}">
  <dimension ref="E5:G14"/>
  <sheetViews>
    <sheetView topLeftCell="A4" zoomScale="115" zoomScaleNormal="115" workbookViewId="0">
      <selection activeCell="G6" sqref="G6"/>
    </sheetView>
  </sheetViews>
  <sheetFormatPr defaultRowHeight="14.4"/>
  <cols>
    <col min="5" max="5" width="19.88671875" bestFit="1" customWidth="1"/>
    <col min="7" max="7" width="19.88671875" customWidth="1"/>
  </cols>
  <sheetData>
    <row r="5" spans="5:7">
      <c r="E5" t="s">
        <v>197</v>
      </c>
      <c r="G5" t="s">
        <v>443</v>
      </c>
    </row>
    <row r="6" spans="5:7">
      <c r="E6" t="s">
        <v>444</v>
      </c>
    </row>
    <row r="7" spans="5:7">
      <c r="E7" t="s">
        <v>6</v>
      </c>
    </row>
    <row r="8" spans="5:7">
      <c r="E8" t="s">
        <v>326</v>
      </c>
    </row>
    <row r="9" spans="5:7">
      <c r="E9" t="s">
        <v>56</v>
      </c>
    </row>
    <row r="10" spans="5:7">
      <c r="E10" t="s">
        <v>49</v>
      </c>
    </row>
    <row r="11" spans="5:7">
      <c r="E11" t="s">
        <v>228</v>
      </c>
    </row>
    <row r="12" spans="5:7">
      <c r="E12" t="s">
        <v>154</v>
      </c>
    </row>
    <row r="13" spans="5:7">
      <c r="E13" t="s">
        <v>245</v>
      </c>
    </row>
    <row r="14" spans="5:7">
      <c r="E14" t="s">
        <v>445</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BCDF0-1F2C-427F-BF99-6BD03E183D29}">
  <sheetPr>
    <outlinePr summaryRight="0"/>
  </sheetPr>
  <dimension ref="A1:DG18"/>
  <sheetViews>
    <sheetView zoomScale="60" zoomScaleNormal="70" workbookViewId="0">
      <selection activeCell="AO4" sqref="AO4:BD4"/>
    </sheetView>
  </sheetViews>
  <sheetFormatPr defaultColWidth="8.88671875" defaultRowHeight="14.4" outlineLevelCol="1"/>
  <cols>
    <col min="1" max="1" width="38.44140625" style="92" customWidth="1"/>
    <col min="2" max="2" width="15.44140625" style="1" customWidth="1"/>
    <col min="3" max="3" width="28.109375" style="1" customWidth="1"/>
    <col min="4" max="4" width="15" style="1" bestFit="1" customWidth="1"/>
    <col min="5" max="5" width="16.109375" style="1" bestFit="1" customWidth="1"/>
    <col min="6" max="7" width="11.88671875" style="1" customWidth="1"/>
    <col min="8" max="8" width="14.109375" style="1" bestFit="1" customWidth="1"/>
    <col min="9" max="9" width="14" style="1" bestFit="1" customWidth="1"/>
    <col min="10" max="12" width="12.5546875" style="1" customWidth="1"/>
    <col min="13" max="13" width="11.109375" style="1" customWidth="1"/>
    <col min="14" max="14" width="12.5546875" style="1" bestFit="1" customWidth="1"/>
    <col min="15" max="15" width="15.44140625" style="1" bestFit="1" customWidth="1"/>
    <col min="16" max="16" width="10.5546875" style="1" bestFit="1" customWidth="1"/>
    <col min="17" max="19" width="10.5546875" style="1" customWidth="1"/>
    <col min="20" max="20" width="11.44140625" style="1" customWidth="1"/>
    <col min="21" max="21" width="11.88671875" style="1" bestFit="1" customWidth="1"/>
    <col min="22" max="22" width="9.44140625" style="1" bestFit="1" customWidth="1"/>
    <col min="23" max="23" width="9.44140625" style="1" customWidth="1"/>
    <col min="24" max="24" width="12.5546875" style="1" customWidth="1"/>
    <col min="25" max="25" width="10.109375" style="1" customWidth="1"/>
    <col min="26" max="26" width="10.88671875" style="1" customWidth="1"/>
    <col min="27" max="27" width="40.109375" style="1" bestFit="1" customWidth="1"/>
    <col min="28" max="28" width="9.44140625" style="147" customWidth="1"/>
    <col min="29" max="31" width="10.88671875" style="147" customWidth="1" outlineLevel="1"/>
    <col min="32" max="32" width="11.88671875" style="147" customWidth="1" outlineLevel="1"/>
    <col min="33" max="34" width="10.88671875" style="147" customWidth="1" outlineLevel="1"/>
    <col min="35" max="35" width="8.88671875" style="147" customWidth="1" outlineLevel="1"/>
    <col min="36" max="36" width="8.88671875" style="147" customWidth="1"/>
    <col min="37" max="39" width="8.88671875" style="147" customWidth="1" outlineLevel="1"/>
    <col min="40" max="40" width="8.88671875" style="147"/>
    <col min="41" max="41" width="8.88671875" style="147" customWidth="1" outlineLevel="1"/>
    <col min="42" max="45" width="10.44140625" style="147" customWidth="1" outlineLevel="1"/>
    <col min="46" max="56" width="10.109375" style="147" customWidth="1" outlineLevel="1"/>
    <col min="57" max="60" width="10.88671875" style="147" customWidth="1" outlineLevel="1"/>
    <col min="61" max="61" width="9.44140625" style="147" customWidth="1" outlineLevel="1"/>
    <col min="62" max="62" width="11.109375" style="147" customWidth="1" outlineLevel="1"/>
    <col min="63" max="63" width="8.88671875" style="147" collapsed="1"/>
    <col min="64" max="66" width="11.44140625" style="147" hidden="1" customWidth="1" outlineLevel="1"/>
    <col min="67" max="67" width="12.88671875" style="147" customWidth="1" collapsed="1"/>
    <col min="68" max="69" width="11.44140625" style="147" hidden="1" customWidth="1" outlineLevel="1"/>
    <col min="70" max="70" width="11.44140625" style="147" customWidth="1" collapsed="1"/>
    <col min="71" max="73" width="11.44140625" style="147" hidden="1" customWidth="1" outlineLevel="1"/>
    <col min="74" max="74" width="11.44140625" style="147" customWidth="1" collapsed="1"/>
    <col min="75" max="75" width="11.44140625" style="147" hidden="1" customWidth="1" outlineLevel="1"/>
    <col min="76" max="76" width="12.44140625" style="147" customWidth="1" collapsed="1"/>
    <col min="77" max="77" width="11.44140625" style="147" hidden="1" customWidth="1" outlineLevel="1"/>
    <col min="78" max="83" width="13.109375" style="147" hidden="1" customWidth="1" outlineLevel="1"/>
    <col min="84" max="84" width="13.109375" style="147" customWidth="1" collapsed="1"/>
    <col min="85" max="85" width="13.109375" style="147" hidden="1" customWidth="1" outlineLevel="1"/>
    <col min="86" max="86" width="13.109375" style="147" customWidth="1" collapsed="1"/>
    <col min="87" max="87" width="13.109375" style="147" hidden="1" customWidth="1" outlineLevel="1"/>
    <col min="88" max="88" width="13.109375" style="147" customWidth="1" collapsed="1"/>
    <col min="89" max="90" width="9.109375" style="147" hidden="1" customWidth="1" outlineLevel="1"/>
    <col min="91" max="92" width="12.88671875" style="1" customWidth="1"/>
    <col min="93" max="94" width="14.109375" style="1" customWidth="1"/>
    <col min="95" max="99" width="12.88671875" style="1" customWidth="1"/>
    <col min="100" max="100" width="19.109375" style="1" bestFit="1" customWidth="1"/>
    <col min="101" max="101" width="11.44140625" style="1" bestFit="1" customWidth="1"/>
    <col min="102" max="102" width="8.109375" style="1" bestFit="1" customWidth="1"/>
    <col min="103" max="103" width="13.88671875" style="1" bestFit="1" customWidth="1"/>
    <col min="104" max="104" width="11.44140625" style="1" bestFit="1" customWidth="1"/>
    <col min="105" max="105" width="12.5546875" style="1" bestFit="1" customWidth="1"/>
    <col min="106" max="107" width="13.5546875" style="1" bestFit="1" customWidth="1"/>
    <col min="108" max="108" width="30.88671875" style="1" bestFit="1" customWidth="1"/>
    <col min="109" max="109" width="34.109375" style="1" bestFit="1" customWidth="1"/>
    <col min="110" max="110" width="8.88671875" style="1"/>
    <col min="111" max="111" width="31.5546875" style="1" bestFit="1" customWidth="1"/>
    <col min="112" max="112" width="8.88671875" style="1"/>
    <col min="113" max="113" width="36" style="1" bestFit="1" customWidth="1"/>
    <col min="114" max="114" width="9" style="1" bestFit="1" customWidth="1"/>
    <col min="115" max="115" width="17.88671875" style="1" bestFit="1" customWidth="1"/>
    <col min="116" max="116" width="22.88671875" style="1" bestFit="1" customWidth="1"/>
    <col min="117" max="16384" width="8.88671875" style="1"/>
  </cols>
  <sheetData>
    <row r="1" spans="1:111" ht="31.8" thickBot="1">
      <c r="A1" s="327"/>
      <c r="B1" s="329" t="s">
        <v>325</v>
      </c>
      <c r="C1" s="330"/>
      <c r="D1" s="330"/>
      <c r="E1" s="331"/>
      <c r="F1" s="332" t="s">
        <v>209</v>
      </c>
      <c r="G1" s="333"/>
      <c r="H1" s="334"/>
      <c r="I1" s="334"/>
      <c r="J1" s="334"/>
      <c r="K1" s="334"/>
      <c r="L1" s="334"/>
      <c r="M1" s="334"/>
      <c r="N1" s="334"/>
      <c r="O1" s="330"/>
      <c r="P1" s="330"/>
      <c r="Q1" s="330"/>
      <c r="R1" s="330"/>
      <c r="S1" s="330"/>
      <c r="T1" s="330"/>
      <c r="U1" s="330"/>
      <c r="V1" s="330"/>
      <c r="W1" s="330"/>
      <c r="X1" s="334"/>
      <c r="Y1" s="335"/>
      <c r="Z1" s="335"/>
      <c r="AA1" s="332" t="s">
        <v>242</v>
      </c>
      <c r="AB1" s="334"/>
      <c r="AC1" s="334"/>
      <c r="AD1" s="334"/>
      <c r="AE1" s="334"/>
      <c r="AF1" s="334"/>
      <c r="AG1" s="334"/>
      <c r="AH1" s="334"/>
      <c r="AI1" s="334"/>
      <c r="AJ1" s="334"/>
      <c r="AK1" s="334"/>
      <c r="AL1" s="334"/>
      <c r="AM1" s="334"/>
      <c r="AN1" s="334"/>
      <c r="AO1" s="334"/>
      <c r="AP1" s="334"/>
      <c r="AQ1" s="334"/>
      <c r="AR1" s="334"/>
      <c r="AS1" s="334"/>
      <c r="AT1" s="334"/>
      <c r="AU1" s="334"/>
      <c r="AV1" s="334"/>
      <c r="AW1" s="334"/>
      <c r="AX1" s="334"/>
      <c r="AY1" s="334"/>
      <c r="AZ1" s="334"/>
      <c r="BA1" s="334"/>
      <c r="BB1" s="334"/>
      <c r="BC1" s="334"/>
      <c r="BD1" s="334"/>
      <c r="BE1" s="334"/>
      <c r="BF1" s="334"/>
      <c r="BG1" s="334"/>
      <c r="BH1" s="334"/>
      <c r="BI1" s="334"/>
      <c r="BJ1" s="334"/>
      <c r="BK1" s="334"/>
      <c r="BL1" s="334"/>
      <c r="BM1" s="334"/>
      <c r="BN1" s="334"/>
      <c r="BO1" s="334"/>
      <c r="BP1" s="334"/>
      <c r="BQ1" s="334"/>
      <c r="BR1" s="334"/>
      <c r="BS1" s="334"/>
      <c r="BT1" s="334"/>
      <c r="BU1" s="334"/>
      <c r="BV1" s="334"/>
      <c r="BW1" s="334"/>
      <c r="BX1" s="334"/>
      <c r="BY1" s="334"/>
      <c r="BZ1" s="334"/>
      <c r="CA1" s="334"/>
      <c r="CB1" s="334"/>
      <c r="CC1" s="334"/>
      <c r="CD1" s="334"/>
      <c r="CE1" s="334"/>
      <c r="CF1" s="334"/>
      <c r="CG1" s="334"/>
      <c r="CH1" s="334"/>
      <c r="CI1" s="334"/>
      <c r="CJ1" s="334"/>
      <c r="CK1" s="334"/>
      <c r="CL1" s="334"/>
      <c r="CM1" s="334"/>
      <c r="CN1" s="334"/>
      <c r="CO1" s="334"/>
      <c r="CP1" s="334"/>
      <c r="CQ1" s="334"/>
      <c r="CR1" s="334"/>
      <c r="CS1" s="334"/>
      <c r="CT1" s="334"/>
      <c r="CU1" s="334"/>
      <c r="CV1" s="330"/>
      <c r="CW1" s="330"/>
      <c r="CX1" s="330"/>
      <c r="CY1" s="330"/>
      <c r="CZ1" s="330"/>
      <c r="DA1" s="330"/>
      <c r="DB1" s="330"/>
      <c r="DC1" s="331"/>
      <c r="DD1" s="336" t="s">
        <v>446</v>
      </c>
    </row>
    <row r="2" spans="1:111">
      <c r="A2" s="327"/>
      <c r="B2" s="339" t="s">
        <v>436</v>
      </c>
      <c r="C2" s="341" t="s">
        <v>437</v>
      </c>
      <c r="D2" s="341" t="s">
        <v>328</v>
      </c>
      <c r="E2" s="343" t="s">
        <v>438</v>
      </c>
      <c r="F2" s="317" t="s">
        <v>210</v>
      </c>
      <c r="G2" s="345"/>
      <c r="H2" s="346"/>
      <c r="I2" s="346"/>
      <c r="J2" s="346"/>
      <c r="K2" s="346"/>
      <c r="L2" s="346"/>
      <c r="M2" s="346"/>
      <c r="N2" s="319"/>
      <c r="O2" s="314" t="s">
        <v>227</v>
      </c>
      <c r="P2" s="315"/>
      <c r="Q2" s="315"/>
      <c r="R2" s="315"/>
      <c r="S2" s="315"/>
      <c r="T2" s="315"/>
      <c r="U2" s="315"/>
      <c r="V2" s="315"/>
      <c r="W2" s="316"/>
      <c r="X2" s="317" t="s">
        <v>154</v>
      </c>
      <c r="Y2" s="318"/>
      <c r="Z2" s="319"/>
      <c r="AA2" s="322" t="s">
        <v>447</v>
      </c>
      <c r="AB2" s="325" t="s">
        <v>245</v>
      </c>
      <c r="AC2" s="325"/>
      <c r="AD2" s="325"/>
      <c r="AE2" s="325"/>
      <c r="AF2" s="325"/>
      <c r="AG2" s="325"/>
      <c r="AH2" s="325"/>
      <c r="AI2" s="325"/>
      <c r="AJ2" s="325"/>
      <c r="AK2" s="325"/>
      <c r="AL2" s="325"/>
      <c r="AM2" s="325"/>
      <c r="AN2" s="325"/>
      <c r="AO2" s="325"/>
      <c r="AP2" s="325"/>
      <c r="AQ2" s="325"/>
      <c r="AR2" s="325"/>
      <c r="AS2" s="325"/>
      <c r="AT2" s="325"/>
      <c r="AU2" s="325"/>
      <c r="AV2" s="325"/>
      <c r="AW2" s="325"/>
      <c r="AX2" s="325"/>
      <c r="AY2" s="325"/>
      <c r="AZ2" s="325"/>
      <c r="BA2" s="325"/>
      <c r="BB2" s="325"/>
      <c r="BC2" s="325"/>
      <c r="BD2" s="325"/>
      <c r="BE2" s="325"/>
      <c r="BF2" s="325"/>
      <c r="BG2" s="325"/>
      <c r="BH2" s="325"/>
      <c r="BI2" s="325"/>
      <c r="BJ2" s="325"/>
      <c r="BK2" s="325"/>
      <c r="BL2" s="325"/>
      <c r="BM2" s="325"/>
      <c r="BN2" s="325"/>
      <c r="BO2" s="325"/>
      <c r="BP2" s="325"/>
      <c r="BQ2" s="325"/>
      <c r="BR2" s="325"/>
      <c r="BS2" s="325"/>
      <c r="BT2" s="325"/>
      <c r="BU2" s="325"/>
      <c r="BV2" s="325"/>
      <c r="BW2" s="325"/>
      <c r="BX2" s="325"/>
      <c r="BY2" s="325"/>
      <c r="BZ2" s="325"/>
      <c r="CA2" s="325"/>
      <c r="CB2" s="325"/>
      <c r="CC2" s="325"/>
      <c r="CD2" s="325"/>
      <c r="CE2" s="325"/>
      <c r="CF2" s="325"/>
      <c r="CG2" s="325"/>
      <c r="CH2" s="325"/>
      <c r="CI2" s="325"/>
      <c r="CJ2" s="325"/>
      <c r="CK2" s="325"/>
      <c r="CL2" s="325"/>
      <c r="CM2" s="347" t="s">
        <v>448</v>
      </c>
      <c r="CN2" s="325"/>
      <c r="CO2" s="325"/>
      <c r="CP2" s="325"/>
      <c r="CQ2" s="325"/>
      <c r="CR2" s="325"/>
      <c r="CS2" s="325"/>
      <c r="CT2" s="325"/>
      <c r="CU2" s="348"/>
      <c r="CV2" s="351" t="s">
        <v>449</v>
      </c>
      <c r="CW2" s="352"/>
      <c r="CX2" s="352"/>
      <c r="CY2" s="352"/>
      <c r="CZ2" s="352"/>
      <c r="DA2" s="352"/>
      <c r="DB2" s="352"/>
      <c r="DC2" s="353"/>
      <c r="DD2" s="337"/>
    </row>
    <row r="3" spans="1:111">
      <c r="A3" s="327"/>
      <c r="B3" s="339"/>
      <c r="C3" s="341"/>
      <c r="D3" s="341"/>
      <c r="E3" s="343"/>
      <c r="F3" s="320"/>
      <c r="G3" s="314"/>
      <c r="H3" s="315"/>
      <c r="I3" s="315"/>
      <c r="J3" s="315"/>
      <c r="K3" s="315"/>
      <c r="L3" s="315"/>
      <c r="M3" s="315"/>
      <c r="N3" s="321"/>
      <c r="O3" s="314"/>
      <c r="P3" s="315"/>
      <c r="Q3" s="315"/>
      <c r="R3" s="315"/>
      <c r="S3" s="315"/>
      <c r="T3" s="315"/>
      <c r="U3" s="315"/>
      <c r="V3" s="315"/>
      <c r="W3" s="316"/>
      <c r="X3" s="320"/>
      <c r="Y3" s="316"/>
      <c r="Z3" s="321"/>
      <c r="AA3" s="323"/>
      <c r="AB3" s="326"/>
      <c r="AC3" s="326"/>
      <c r="AD3" s="326"/>
      <c r="AE3" s="326"/>
      <c r="AF3" s="326"/>
      <c r="AG3" s="326"/>
      <c r="AH3" s="326"/>
      <c r="AI3" s="326"/>
      <c r="AJ3" s="326"/>
      <c r="AK3" s="326"/>
      <c r="AL3" s="326"/>
      <c r="AM3" s="326"/>
      <c r="AN3" s="326"/>
      <c r="AO3" s="326"/>
      <c r="AP3" s="326"/>
      <c r="AQ3" s="326"/>
      <c r="AR3" s="326"/>
      <c r="AS3" s="326"/>
      <c r="AT3" s="326"/>
      <c r="AU3" s="326"/>
      <c r="AV3" s="326"/>
      <c r="AW3" s="326"/>
      <c r="AX3" s="326"/>
      <c r="AY3" s="326"/>
      <c r="AZ3" s="326"/>
      <c r="BA3" s="326"/>
      <c r="BB3" s="326"/>
      <c r="BC3" s="326"/>
      <c r="BD3" s="326"/>
      <c r="BE3" s="326"/>
      <c r="BF3" s="326"/>
      <c r="BG3" s="326"/>
      <c r="BH3" s="326"/>
      <c r="BI3" s="326"/>
      <c r="BJ3" s="326"/>
      <c r="BK3" s="326"/>
      <c r="BL3" s="326"/>
      <c r="BM3" s="326"/>
      <c r="BN3" s="326"/>
      <c r="BO3" s="326"/>
      <c r="BP3" s="326"/>
      <c r="BQ3" s="326"/>
      <c r="BR3" s="326"/>
      <c r="BS3" s="326"/>
      <c r="BT3" s="326"/>
      <c r="BU3" s="326"/>
      <c r="BV3" s="326"/>
      <c r="BW3" s="326"/>
      <c r="BX3" s="326"/>
      <c r="BY3" s="326"/>
      <c r="BZ3" s="326"/>
      <c r="CA3" s="326"/>
      <c r="CB3" s="326"/>
      <c r="CC3" s="326"/>
      <c r="CD3" s="326"/>
      <c r="CE3" s="326"/>
      <c r="CF3" s="326"/>
      <c r="CG3" s="326"/>
      <c r="CH3" s="326"/>
      <c r="CI3" s="326"/>
      <c r="CJ3" s="326"/>
      <c r="CK3" s="326"/>
      <c r="CL3" s="326"/>
      <c r="CM3" s="349"/>
      <c r="CN3" s="326"/>
      <c r="CO3" s="326"/>
      <c r="CP3" s="326"/>
      <c r="CQ3" s="326"/>
      <c r="CR3" s="326"/>
      <c r="CS3" s="326"/>
      <c r="CT3" s="326"/>
      <c r="CU3" s="350"/>
      <c r="CV3" s="58" t="s">
        <v>314</v>
      </c>
      <c r="CW3" s="315" t="s">
        <v>316</v>
      </c>
      <c r="CX3" s="315"/>
      <c r="CY3" s="315"/>
      <c r="CZ3" s="315" t="s">
        <v>320</v>
      </c>
      <c r="DA3" s="315"/>
      <c r="DB3" s="315"/>
      <c r="DC3" s="354" t="s">
        <v>324</v>
      </c>
      <c r="DD3" s="337"/>
    </row>
    <row r="4" spans="1:111" ht="90" customHeight="1" thickBot="1">
      <c r="A4" s="328"/>
      <c r="B4" s="340"/>
      <c r="C4" s="342"/>
      <c r="D4" s="342"/>
      <c r="E4" s="344"/>
      <c r="F4" s="59" t="s">
        <v>211</v>
      </c>
      <c r="G4" s="60" t="s">
        <v>214</v>
      </c>
      <c r="H4" s="61" t="s">
        <v>439</v>
      </c>
      <c r="I4" s="61" t="s">
        <v>440</v>
      </c>
      <c r="J4" s="61" t="s">
        <v>221</v>
      </c>
      <c r="K4" s="61" t="s">
        <v>222</v>
      </c>
      <c r="L4" s="61" t="s">
        <v>223</v>
      </c>
      <c r="M4" s="61" t="s">
        <v>224</v>
      </c>
      <c r="N4" s="62" t="s">
        <v>226</v>
      </c>
      <c r="O4" s="60" t="s">
        <v>229</v>
      </c>
      <c r="P4" s="61" t="s">
        <v>230</v>
      </c>
      <c r="Q4" s="61" t="s">
        <v>231</v>
      </c>
      <c r="R4" s="63" t="s">
        <v>232</v>
      </c>
      <c r="S4" s="63" t="s">
        <v>233</v>
      </c>
      <c r="T4" s="63" t="s">
        <v>234</v>
      </c>
      <c r="U4" s="61" t="s">
        <v>235</v>
      </c>
      <c r="V4" s="61" t="s">
        <v>236</v>
      </c>
      <c r="W4" s="64" t="s">
        <v>237</v>
      </c>
      <c r="X4" s="59" t="s">
        <v>238</v>
      </c>
      <c r="Y4" s="64" t="s">
        <v>240</v>
      </c>
      <c r="Z4" s="62" t="s">
        <v>241</v>
      </c>
      <c r="AA4" s="324"/>
      <c r="AB4" s="65" t="s">
        <v>244</v>
      </c>
      <c r="AC4" s="209" t="s">
        <v>246</v>
      </c>
      <c r="AD4" s="67" t="s">
        <v>247</v>
      </c>
      <c r="AE4" s="66" t="s">
        <v>248</v>
      </c>
      <c r="AF4" s="67" t="s">
        <v>249</v>
      </c>
      <c r="AG4" s="66" t="s">
        <v>250</v>
      </c>
      <c r="AH4" s="67" t="s">
        <v>251</v>
      </c>
      <c r="AI4" s="66" t="s">
        <v>252</v>
      </c>
      <c r="AJ4" s="65" t="s">
        <v>253</v>
      </c>
      <c r="AK4" s="67" t="s">
        <v>254</v>
      </c>
      <c r="AL4" s="66" t="s">
        <v>255</v>
      </c>
      <c r="AM4" s="67" t="s">
        <v>256</v>
      </c>
      <c r="AN4" s="65" t="s">
        <v>257</v>
      </c>
      <c r="AO4" s="210" t="s">
        <v>258</v>
      </c>
      <c r="AP4" s="66" t="s">
        <v>259</v>
      </c>
      <c r="AQ4" s="67" t="s">
        <v>260</v>
      </c>
      <c r="AR4" s="66" t="s">
        <v>261</v>
      </c>
      <c r="AS4" s="67" t="s">
        <v>262</v>
      </c>
      <c r="AT4" s="66" t="s">
        <v>263</v>
      </c>
      <c r="AU4" s="67" t="s">
        <v>264</v>
      </c>
      <c r="AV4" s="209" t="s">
        <v>74</v>
      </c>
      <c r="AW4" s="67" t="s">
        <v>265</v>
      </c>
      <c r="AX4" s="66" t="s">
        <v>266</v>
      </c>
      <c r="AY4" s="67" t="s">
        <v>267</v>
      </c>
      <c r="AZ4" s="66" t="s">
        <v>268</v>
      </c>
      <c r="BA4" s="67" t="s">
        <v>269</v>
      </c>
      <c r="BB4" s="66" t="s">
        <v>270</v>
      </c>
      <c r="BC4" s="67" t="s">
        <v>271</v>
      </c>
      <c r="BD4" s="66" t="s">
        <v>272</v>
      </c>
      <c r="BE4" s="67" t="s">
        <v>273</v>
      </c>
      <c r="BF4" s="66" t="s">
        <v>274</v>
      </c>
      <c r="BG4" s="67" t="s">
        <v>275</v>
      </c>
      <c r="BH4" s="66" t="s">
        <v>276</v>
      </c>
      <c r="BI4" s="67" t="s">
        <v>277</v>
      </c>
      <c r="BJ4" s="66" t="s">
        <v>278</v>
      </c>
      <c r="BK4" s="65" t="s">
        <v>279</v>
      </c>
      <c r="BL4" s="67" t="s">
        <v>280</v>
      </c>
      <c r="BM4" s="66" t="s">
        <v>281</v>
      </c>
      <c r="BN4" s="67" t="s">
        <v>282</v>
      </c>
      <c r="BO4" s="65" t="s">
        <v>283</v>
      </c>
      <c r="BP4" s="210" t="s">
        <v>184</v>
      </c>
      <c r="BQ4" s="66" t="s">
        <v>284</v>
      </c>
      <c r="BR4" s="65" t="s">
        <v>285</v>
      </c>
      <c r="BS4" s="210" t="s">
        <v>286</v>
      </c>
      <c r="BT4" s="209" t="s">
        <v>287</v>
      </c>
      <c r="BU4" s="210" t="s">
        <v>288</v>
      </c>
      <c r="BV4" s="65" t="s">
        <v>289</v>
      </c>
      <c r="BW4" s="210" t="s">
        <v>290</v>
      </c>
      <c r="BX4" s="65" t="s">
        <v>291</v>
      </c>
      <c r="BY4" s="67" t="s">
        <v>292</v>
      </c>
      <c r="BZ4" s="66" t="s">
        <v>293</v>
      </c>
      <c r="CA4" s="67" t="s">
        <v>294</v>
      </c>
      <c r="CB4" s="66" t="s">
        <v>295</v>
      </c>
      <c r="CC4" s="67" t="s">
        <v>296</v>
      </c>
      <c r="CD4" s="66" t="s">
        <v>297</v>
      </c>
      <c r="CE4" s="67" t="s">
        <v>109</v>
      </c>
      <c r="CF4" s="65" t="s">
        <v>298</v>
      </c>
      <c r="CG4" s="67" t="s">
        <v>299</v>
      </c>
      <c r="CH4" s="65" t="s">
        <v>300</v>
      </c>
      <c r="CI4" s="67" t="s">
        <v>301</v>
      </c>
      <c r="CJ4" s="65" t="s">
        <v>442</v>
      </c>
      <c r="CK4" s="205" t="s">
        <v>302</v>
      </c>
      <c r="CL4" s="206" t="s">
        <v>246</v>
      </c>
      <c r="CM4" s="70" t="s">
        <v>304</v>
      </c>
      <c r="CN4" s="71" t="s">
        <v>305</v>
      </c>
      <c r="CO4" s="71" t="s">
        <v>306</v>
      </c>
      <c r="CP4" s="71" t="s">
        <v>307</v>
      </c>
      <c r="CQ4" s="71" t="s">
        <v>308</v>
      </c>
      <c r="CR4" s="71" t="s">
        <v>309</v>
      </c>
      <c r="CS4" s="71" t="s">
        <v>310</v>
      </c>
      <c r="CT4" s="71" t="s">
        <v>311</v>
      </c>
      <c r="CU4" s="72" t="s">
        <v>312</v>
      </c>
      <c r="CV4" s="211" t="s">
        <v>15</v>
      </c>
      <c r="CW4" s="61" t="s">
        <v>317</v>
      </c>
      <c r="CX4" s="61" t="s">
        <v>318</v>
      </c>
      <c r="CY4" s="61" t="s">
        <v>319</v>
      </c>
      <c r="CZ4" s="61" t="s">
        <v>321</v>
      </c>
      <c r="DA4" s="61" t="s">
        <v>322</v>
      </c>
      <c r="DB4" s="61" t="s">
        <v>323</v>
      </c>
      <c r="DC4" s="355"/>
      <c r="DD4" s="338"/>
      <c r="DE4" s="1" t="s">
        <v>450</v>
      </c>
    </row>
    <row r="5" spans="1:111" s="15" customFormat="1" ht="15.6" customHeight="1">
      <c r="A5" s="222" t="s">
        <v>451</v>
      </c>
      <c r="F5" s="15" t="s">
        <v>212</v>
      </c>
      <c r="G5" s="15" t="s">
        <v>215</v>
      </c>
      <c r="H5" s="15" t="s">
        <v>212</v>
      </c>
      <c r="I5" s="15" t="s">
        <v>219</v>
      </c>
      <c r="J5" s="15" t="s">
        <v>215</v>
      </c>
      <c r="K5" s="15" t="s">
        <v>215</v>
      </c>
      <c r="L5" s="15" t="s">
        <v>215</v>
      </c>
      <c r="M5" s="15" t="s">
        <v>225</v>
      </c>
      <c r="N5" s="15" t="s">
        <v>215</v>
      </c>
      <c r="O5" s="15" t="s">
        <v>212</v>
      </c>
      <c r="P5" s="15" t="s">
        <v>220</v>
      </c>
      <c r="Q5" s="15" t="s">
        <v>225</v>
      </c>
      <c r="R5" s="15" t="s">
        <v>220</v>
      </c>
      <c r="S5" s="15" t="s">
        <v>220</v>
      </c>
      <c r="T5" s="15" t="s">
        <v>220</v>
      </c>
      <c r="U5" s="15" t="s">
        <v>220</v>
      </c>
      <c r="V5" s="15" t="s">
        <v>220</v>
      </c>
      <c r="X5" s="15" t="s">
        <v>220</v>
      </c>
      <c r="Y5" s="15" t="s">
        <v>220</v>
      </c>
      <c r="Z5" s="15" t="s">
        <v>220</v>
      </c>
      <c r="AO5" s="15" t="s">
        <v>220</v>
      </c>
      <c r="CW5" s="15" t="s">
        <v>212</v>
      </c>
      <c r="CX5" s="15" t="s">
        <v>212</v>
      </c>
      <c r="CZ5" s="15" t="s">
        <v>212</v>
      </c>
      <c r="DB5" s="15" t="s">
        <v>212</v>
      </c>
    </row>
    <row r="6" spans="1:111" s="15" customFormat="1" ht="15.6" customHeight="1" thickBot="1">
      <c r="A6" s="222" t="s">
        <v>452</v>
      </c>
      <c r="F6" s="15" t="s">
        <v>213</v>
      </c>
      <c r="G6" s="15" t="s">
        <v>213</v>
      </c>
      <c r="H6" s="15" t="s">
        <v>217</v>
      </c>
      <c r="I6" s="15" t="s">
        <v>220</v>
      </c>
      <c r="J6" s="15" t="s">
        <v>217</v>
      </c>
      <c r="K6" s="15" t="s">
        <v>217</v>
      </c>
      <c r="L6" s="15" t="s">
        <v>217</v>
      </c>
      <c r="M6" s="15" t="s">
        <v>217</v>
      </c>
      <c r="N6" s="15" t="s">
        <v>217</v>
      </c>
      <c r="O6" s="15" t="s">
        <v>213</v>
      </c>
      <c r="P6" s="15" t="s">
        <v>213</v>
      </c>
      <c r="Q6" s="15" t="s">
        <v>220</v>
      </c>
      <c r="R6" s="15" t="s">
        <v>213</v>
      </c>
      <c r="S6" s="15" t="s">
        <v>217</v>
      </c>
      <c r="T6" s="15" t="s">
        <v>213</v>
      </c>
      <c r="U6" s="15" t="s">
        <v>213</v>
      </c>
      <c r="V6" s="15" t="s">
        <v>220</v>
      </c>
      <c r="X6" s="15" t="s">
        <v>239</v>
      </c>
      <c r="Y6" s="15" t="s">
        <v>239</v>
      </c>
      <c r="Z6" s="15" t="s">
        <v>239</v>
      </c>
      <c r="AC6" s="15" t="s">
        <v>217</v>
      </c>
      <c r="AD6" s="15" t="s">
        <v>217</v>
      </c>
      <c r="AE6" s="15" t="s">
        <v>217</v>
      </c>
      <c r="AF6" s="15" t="s">
        <v>217</v>
      </c>
      <c r="AG6" s="15" t="s">
        <v>217</v>
      </c>
      <c r="AH6" s="15" t="s">
        <v>220</v>
      </c>
      <c r="AI6" s="15" t="s">
        <v>217</v>
      </c>
      <c r="AK6" s="15" t="s">
        <v>213</v>
      </c>
      <c r="AL6" s="15" t="s">
        <v>213</v>
      </c>
      <c r="AM6" s="15" t="s">
        <v>213</v>
      </c>
      <c r="AO6" s="15" t="s">
        <v>220</v>
      </c>
      <c r="AP6" s="15" t="s">
        <v>217</v>
      </c>
      <c r="AQ6" s="15" t="s">
        <v>220</v>
      </c>
      <c r="AR6" s="15" t="s">
        <v>220</v>
      </c>
      <c r="AS6" s="15" t="s">
        <v>220</v>
      </c>
      <c r="AT6" s="15" t="s">
        <v>220</v>
      </c>
      <c r="AU6" s="15" t="s">
        <v>220</v>
      </c>
      <c r="AV6" s="15" t="s">
        <v>220</v>
      </c>
      <c r="AW6" s="15" t="s">
        <v>220</v>
      </c>
      <c r="AX6" s="15" t="s">
        <v>220</v>
      </c>
      <c r="AY6" s="15" t="s">
        <v>220</v>
      </c>
      <c r="AZ6" s="15" t="s">
        <v>220</v>
      </c>
      <c r="BA6" s="15" t="s">
        <v>220</v>
      </c>
      <c r="BB6" s="15" t="s">
        <v>220</v>
      </c>
      <c r="BC6" s="15" t="s">
        <v>220</v>
      </c>
      <c r="BD6" s="15" t="s">
        <v>220</v>
      </c>
      <c r="BE6" s="15" t="s">
        <v>220</v>
      </c>
      <c r="BF6" s="15" t="s">
        <v>220</v>
      </c>
      <c r="BG6" s="15" t="s">
        <v>220</v>
      </c>
      <c r="BH6" s="15" t="s">
        <v>220</v>
      </c>
      <c r="BI6" s="15" t="s">
        <v>220</v>
      </c>
      <c r="BJ6" s="15" t="s">
        <v>220</v>
      </c>
      <c r="BL6" s="15" t="s">
        <v>217</v>
      </c>
      <c r="BM6" s="15" t="s">
        <v>217</v>
      </c>
      <c r="BN6" s="15" t="s">
        <v>217</v>
      </c>
      <c r="BP6" s="15" t="s">
        <v>217</v>
      </c>
      <c r="BQ6" s="15" t="s">
        <v>217</v>
      </c>
      <c r="BS6" s="15" t="s">
        <v>217</v>
      </c>
      <c r="BT6" s="15" t="s">
        <v>217</v>
      </c>
      <c r="BU6" s="15" t="s">
        <v>217</v>
      </c>
      <c r="BW6" s="15" t="s">
        <v>213</v>
      </c>
      <c r="BY6" s="15" t="s">
        <v>217</v>
      </c>
      <c r="BZ6" s="15" t="s">
        <v>220</v>
      </c>
      <c r="CA6" s="15" t="s">
        <v>220</v>
      </c>
      <c r="CB6" s="15" t="s">
        <v>220</v>
      </c>
      <c r="CC6" s="15" t="s">
        <v>217</v>
      </c>
      <c r="CD6" s="15" t="s">
        <v>220</v>
      </c>
      <c r="CE6" s="15" t="s">
        <v>220</v>
      </c>
      <c r="CG6" s="15" t="s">
        <v>220</v>
      </c>
      <c r="CI6" s="15" t="s">
        <v>217</v>
      </c>
      <c r="CW6" s="15" t="s">
        <v>217</v>
      </c>
      <c r="CX6" s="15" t="s">
        <v>217</v>
      </c>
      <c r="CY6" s="15" t="s">
        <v>217</v>
      </c>
      <c r="CZ6" s="15" t="s">
        <v>220</v>
      </c>
      <c r="DA6" s="15" t="s">
        <v>220</v>
      </c>
      <c r="DB6" s="15" t="s">
        <v>217</v>
      </c>
    </row>
    <row r="7" spans="1:111" s="92" customFormat="1" ht="43.2">
      <c r="A7" s="73" t="s">
        <v>201</v>
      </c>
      <c r="B7" s="74" t="s">
        <v>453</v>
      </c>
      <c r="C7" s="75" t="s">
        <v>454</v>
      </c>
      <c r="D7" s="76" t="s">
        <v>455</v>
      </c>
      <c r="E7" s="77"/>
      <c r="F7" s="78" t="s">
        <v>456</v>
      </c>
      <c r="G7" s="79"/>
      <c r="H7" s="80"/>
      <c r="I7" s="80"/>
      <c r="J7" s="80"/>
      <c r="K7" s="80"/>
      <c r="L7" s="80"/>
      <c r="M7" s="80"/>
      <c r="N7" s="80"/>
      <c r="O7" s="11"/>
      <c r="P7" s="11"/>
      <c r="Q7" s="11"/>
      <c r="R7" s="11"/>
      <c r="S7" s="11"/>
      <c r="T7" s="11"/>
      <c r="U7" s="11"/>
      <c r="V7" s="11"/>
      <c r="W7" s="11"/>
      <c r="X7" s="11"/>
      <c r="Y7" s="81"/>
      <c r="Z7" s="81"/>
      <c r="AA7" s="82" t="s">
        <v>457</v>
      </c>
      <c r="AB7" s="83"/>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c r="BS7" s="85" t="s">
        <v>458</v>
      </c>
      <c r="BT7" s="84"/>
      <c r="BU7" s="84"/>
      <c r="BV7" s="84"/>
      <c r="BW7" s="84"/>
      <c r="BX7" s="84"/>
      <c r="BY7" s="84"/>
      <c r="BZ7" s="84"/>
      <c r="CA7" s="84"/>
      <c r="CB7" s="84"/>
      <c r="CC7" s="84"/>
      <c r="CD7" s="84"/>
      <c r="CE7" s="84"/>
      <c r="CF7" s="84"/>
      <c r="CG7" s="84"/>
      <c r="CH7" s="84"/>
      <c r="CI7" s="84"/>
      <c r="CJ7" s="203"/>
      <c r="CK7" s="29"/>
      <c r="CL7" s="29"/>
      <c r="CM7" s="204"/>
      <c r="CN7" s="86"/>
      <c r="CO7" s="86"/>
      <c r="CP7" s="86"/>
      <c r="CQ7" s="86"/>
      <c r="CR7" s="86"/>
      <c r="CS7" s="86"/>
      <c r="CT7" s="86"/>
      <c r="CU7" s="87"/>
      <c r="CV7" s="88" t="s">
        <v>459</v>
      </c>
      <c r="CW7" s="89"/>
      <c r="CX7" s="89"/>
      <c r="CY7" s="89"/>
      <c r="CZ7" s="89"/>
      <c r="DA7" s="89"/>
      <c r="DB7" s="89"/>
      <c r="DC7" s="90"/>
      <c r="DD7" s="91"/>
      <c r="DF7" s="93"/>
      <c r="DG7" s="92" t="s">
        <v>460</v>
      </c>
    </row>
    <row r="8" spans="1:111" s="92" customFormat="1" ht="43.2">
      <c r="A8" s="73" t="s">
        <v>202</v>
      </c>
      <c r="B8" s="94" t="s">
        <v>461</v>
      </c>
      <c r="C8" s="95" t="s">
        <v>462</v>
      </c>
      <c r="D8" s="95" t="s">
        <v>463</v>
      </c>
      <c r="E8" s="96"/>
      <c r="F8" s="97"/>
      <c r="G8" s="79"/>
      <c r="H8" s="98" t="s">
        <v>464</v>
      </c>
      <c r="I8" s="99"/>
      <c r="J8" s="99"/>
      <c r="K8" s="99"/>
      <c r="L8" s="99"/>
      <c r="M8" s="99"/>
      <c r="N8" s="99"/>
      <c r="O8" s="15"/>
      <c r="P8" s="15"/>
      <c r="Q8" s="15"/>
      <c r="R8" s="15"/>
      <c r="S8" s="15"/>
      <c r="T8" s="15"/>
      <c r="U8" s="15"/>
      <c r="V8" s="15"/>
      <c r="W8" s="15"/>
      <c r="X8" s="100" t="s">
        <v>464</v>
      </c>
      <c r="Y8" s="81"/>
      <c r="Z8" s="101"/>
      <c r="AA8" s="102" t="s">
        <v>465</v>
      </c>
      <c r="AB8" s="103"/>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104"/>
      <c r="BT8" s="29"/>
      <c r="BU8" s="29"/>
      <c r="BV8" s="29"/>
      <c r="BW8" s="29"/>
      <c r="BX8" s="29"/>
      <c r="BY8" s="29"/>
      <c r="BZ8" s="29"/>
      <c r="CA8" s="29"/>
      <c r="CB8" s="29"/>
      <c r="CC8" s="29"/>
      <c r="CD8" s="29"/>
      <c r="CE8" s="29"/>
      <c r="CF8" s="29"/>
      <c r="CG8" s="29"/>
      <c r="CH8" s="29"/>
      <c r="CI8" s="29"/>
      <c r="CJ8" s="115"/>
      <c r="CK8" s="29"/>
      <c r="CL8" s="29"/>
      <c r="CM8" s="121"/>
      <c r="CN8" s="15"/>
      <c r="CO8" s="15"/>
      <c r="CP8" s="15"/>
      <c r="CQ8" s="15"/>
      <c r="CR8" s="15"/>
      <c r="CS8" s="15"/>
      <c r="CT8" s="15"/>
      <c r="CU8" s="107"/>
      <c r="CV8" s="108" t="s">
        <v>466</v>
      </c>
      <c r="CW8" s="98" t="s">
        <v>464</v>
      </c>
      <c r="CX8" s="98"/>
      <c r="CY8" s="98"/>
      <c r="CZ8" s="98"/>
      <c r="DA8" s="15"/>
      <c r="DB8" s="15"/>
      <c r="DC8" s="109" t="s">
        <v>467</v>
      </c>
      <c r="DD8" s="110"/>
      <c r="DF8" s="111"/>
      <c r="DG8" s="92" t="s">
        <v>468</v>
      </c>
    </row>
    <row r="9" spans="1:111" s="92" customFormat="1" ht="57.6">
      <c r="A9" s="73" t="s">
        <v>203</v>
      </c>
      <c r="B9" s="112" t="s">
        <v>469</v>
      </c>
      <c r="C9" s="95" t="s">
        <v>470</v>
      </c>
      <c r="D9" s="15" t="s">
        <v>471</v>
      </c>
      <c r="E9" s="96"/>
      <c r="F9" s="97"/>
      <c r="G9" s="79"/>
      <c r="H9" s="99"/>
      <c r="I9" s="99"/>
      <c r="J9" s="99"/>
      <c r="K9" s="99"/>
      <c r="L9" s="99"/>
      <c r="M9" s="99"/>
      <c r="N9" s="99"/>
      <c r="O9" s="99"/>
      <c r="P9" s="99"/>
      <c r="Q9" s="99"/>
      <c r="R9" s="99"/>
      <c r="S9" s="99"/>
      <c r="T9" s="99"/>
      <c r="U9" s="99"/>
      <c r="V9" s="99"/>
      <c r="W9" s="99"/>
      <c r="X9" s="113" t="s">
        <v>472</v>
      </c>
      <c r="Y9" s="81"/>
      <c r="Z9" s="114"/>
      <c r="AA9" s="102" t="s">
        <v>473</v>
      </c>
      <c r="AB9" s="103"/>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15"/>
      <c r="BT9" s="29"/>
      <c r="BU9" s="29"/>
      <c r="BV9" s="29"/>
      <c r="BW9" s="29"/>
      <c r="BX9" s="29"/>
      <c r="BY9" s="29"/>
      <c r="BZ9" s="29"/>
      <c r="CA9" s="29"/>
      <c r="CB9" s="29"/>
      <c r="CC9" s="29"/>
      <c r="CD9" s="29"/>
      <c r="CE9" s="29"/>
      <c r="CF9" s="29"/>
      <c r="CG9" s="29"/>
      <c r="CH9" s="29"/>
      <c r="CI9" s="29"/>
      <c r="CJ9" s="115"/>
      <c r="CK9" s="207"/>
      <c r="CL9" s="208"/>
      <c r="CM9" s="106"/>
      <c r="CN9" s="15"/>
      <c r="CO9" s="15"/>
      <c r="CP9" s="15"/>
      <c r="CQ9" s="15"/>
      <c r="CR9" s="15"/>
      <c r="CS9" s="15"/>
      <c r="CT9" s="15"/>
      <c r="CU9" s="107"/>
      <c r="CV9" s="116" t="s">
        <v>474</v>
      </c>
      <c r="CW9" s="104"/>
      <c r="CX9" s="104"/>
      <c r="CY9" s="104"/>
      <c r="CZ9" s="104"/>
      <c r="DA9" s="104"/>
      <c r="DB9" s="104"/>
      <c r="DC9" s="101"/>
      <c r="DD9" s="110"/>
      <c r="DF9" s="117"/>
      <c r="DG9" s="92" t="s">
        <v>475</v>
      </c>
    </row>
    <row r="10" spans="1:111" s="92" customFormat="1">
      <c r="A10" s="73" t="s">
        <v>476</v>
      </c>
      <c r="B10" s="118"/>
      <c r="C10" s="119"/>
      <c r="D10" s="15"/>
      <c r="E10" s="120"/>
      <c r="F10" s="106"/>
      <c r="G10" s="121"/>
      <c r="H10" s="15"/>
      <c r="I10" s="15"/>
      <c r="J10" s="15"/>
      <c r="K10" s="15"/>
      <c r="L10" s="15"/>
      <c r="M10" s="15"/>
      <c r="N10" s="15"/>
      <c r="O10" s="15"/>
      <c r="P10" s="15"/>
      <c r="Q10" s="15"/>
      <c r="R10" s="15"/>
      <c r="S10" s="15"/>
      <c r="T10" s="15"/>
      <c r="U10" s="15"/>
      <c r="V10" s="15"/>
      <c r="W10" s="15"/>
      <c r="X10" s="15"/>
      <c r="Y10" s="101"/>
      <c r="Z10" s="101"/>
      <c r="AA10" s="122"/>
      <c r="AB10" s="103"/>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15"/>
      <c r="BT10" s="29"/>
      <c r="BU10" s="29"/>
      <c r="BV10" s="29"/>
      <c r="BW10" s="29"/>
      <c r="BX10" s="29"/>
      <c r="BY10" s="29"/>
      <c r="BZ10" s="29"/>
      <c r="CA10" s="29"/>
      <c r="CB10" s="29"/>
      <c r="CC10" s="29"/>
      <c r="CD10" s="29"/>
      <c r="CE10" s="29"/>
      <c r="CF10" s="29"/>
      <c r="CG10" s="29"/>
      <c r="CH10" s="29"/>
      <c r="CI10" s="29"/>
      <c r="CJ10" s="115"/>
      <c r="CK10" s="103"/>
      <c r="CL10" s="105"/>
      <c r="CM10" s="106"/>
      <c r="CN10" s="15"/>
      <c r="CO10" s="15"/>
      <c r="CP10" s="15"/>
      <c r="CQ10" s="15"/>
      <c r="CR10" s="15"/>
      <c r="CS10" s="15"/>
      <c r="CT10" s="15"/>
      <c r="CU10" s="107"/>
      <c r="CV10" s="121"/>
      <c r="CW10" s="15"/>
      <c r="CX10" s="15"/>
      <c r="CY10" s="15"/>
      <c r="CZ10" s="15"/>
      <c r="DA10" s="15"/>
      <c r="DB10" s="15"/>
      <c r="DC10" s="101"/>
      <c r="DD10" s="110"/>
    </row>
    <row r="11" spans="1:111" s="92" customFormat="1">
      <c r="A11" s="73" t="s">
        <v>206</v>
      </c>
      <c r="B11" s="123" t="s">
        <v>477</v>
      </c>
      <c r="C11" s="119"/>
      <c r="D11" s="100" t="s">
        <v>478</v>
      </c>
      <c r="E11" s="120"/>
      <c r="F11" s="106"/>
      <c r="G11" s="121"/>
      <c r="H11" s="15"/>
      <c r="I11" s="15"/>
      <c r="J11" s="15"/>
      <c r="K11" s="15"/>
      <c r="L11" s="15"/>
      <c r="M11" s="15"/>
      <c r="N11" s="15"/>
      <c r="O11" s="15"/>
      <c r="P11" s="15"/>
      <c r="Q11" s="15"/>
      <c r="R11" s="15"/>
      <c r="S11" s="15"/>
      <c r="T11" s="15"/>
      <c r="U11" s="15"/>
      <c r="V11" s="15"/>
      <c r="W11" s="15"/>
      <c r="X11" s="15"/>
      <c r="Y11" s="101"/>
      <c r="Z11" s="101"/>
      <c r="AA11" s="122"/>
      <c r="AB11" s="103"/>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15"/>
      <c r="BT11" s="29"/>
      <c r="BU11" s="29"/>
      <c r="BV11" s="29"/>
      <c r="BW11" s="29"/>
      <c r="BX11" s="29"/>
      <c r="BY11" s="29"/>
      <c r="BZ11" s="29"/>
      <c r="CA11" s="29"/>
      <c r="CB11" s="29"/>
      <c r="CC11" s="29"/>
      <c r="CD11" s="29"/>
      <c r="CE11" s="29"/>
      <c r="CF11" s="29"/>
      <c r="CG11" s="29"/>
      <c r="CH11" s="29"/>
      <c r="CI11" s="29"/>
      <c r="CJ11" s="115"/>
      <c r="CK11" s="103"/>
      <c r="CL11" s="105"/>
      <c r="CM11" s="106"/>
      <c r="CN11" s="15"/>
      <c r="CO11" s="15"/>
      <c r="CP11" s="15"/>
      <c r="CQ11" s="15"/>
      <c r="CR11" s="15"/>
      <c r="CS11" s="15"/>
      <c r="CT11" s="15"/>
      <c r="CU11" s="107"/>
      <c r="CV11" s="121"/>
      <c r="CW11" s="15"/>
      <c r="CX11" s="15"/>
      <c r="CY11" s="15"/>
      <c r="CZ11" s="15"/>
      <c r="DA11" s="15"/>
      <c r="DB11" s="15"/>
      <c r="DC11" s="101"/>
      <c r="DD11" s="110"/>
    </row>
    <row r="12" spans="1:111" s="92" customFormat="1" ht="28.8">
      <c r="A12" s="73" t="s">
        <v>204</v>
      </c>
      <c r="B12" s="112" t="s">
        <v>479</v>
      </c>
      <c r="C12" s="95" t="s">
        <v>480</v>
      </c>
      <c r="D12" s="15"/>
      <c r="E12" s="96"/>
      <c r="F12" s="106"/>
      <c r="G12" s="121"/>
      <c r="H12" s="15"/>
      <c r="I12" s="15"/>
      <c r="J12" s="15"/>
      <c r="K12" s="15"/>
      <c r="L12" s="15"/>
      <c r="M12" s="15"/>
      <c r="N12" s="15"/>
      <c r="O12" s="15"/>
      <c r="P12" s="15"/>
      <c r="Q12" s="15"/>
      <c r="R12" s="15"/>
      <c r="S12" s="15"/>
      <c r="T12" s="15"/>
      <c r="U12" s="15"/>
      <c r="V12" s="15"/>
      <c r="W12" s="15"/>
      <c r="X12" s="15"/>
      <c r="Y12" s="101"/>
      <c r="Z12" s="101"/>
      <c r="AA12" s="122"/>
      <c r="AB12" s="103"/>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15"/>
      <c r="BT12" s="29"/>
      <c r="BU12" s="29"/>
      <c r="BV12" s="29"/>
      <c r="BW12" s="29"/>
      <c r="BX12" s="29"/>
      <c r="BY12" s="29"/>
      <c r="BZ12" s="29"/>
      <c r="CA12" s="29"/>
      <c r="CB12" s="29"/>
      <c r="CC12" s="29"/>
      <c r="CD12" s="29"/>
      <c r="CE12" s="29"/>
      <c r="CF12" s="29"/>
      <c r="CG12" s="29"/>
      <c r="CH12" s="29"/>
      <c r="CI12" s="29"/>
      <c r="CJ12" s="115"/>
      <c r="CK12" s="103"/>
      <c r="CL12" s="105"/>
      <c r="CM12" s="106"/>
      <c r="CN12" s="15"/>
      <c r="CO12" s="15"/>
      <c r="CP12" s="15"/>
      <c r="CQ12" s="15"/>
      <c r="CR12" s="15"/>
      <c r="CS12" s="15"/>
      <c r="CT12" s="15"/>
      <c r="CU12" s="107"/>
      <c r="CV12" s="121"/>
      <c r="CW12" s="15"/>
      <c r="CX12" s="15"/>
      <c r="CY12" s="15"/>
      <c r="CZ12" s="15"/>
      <c r="DA12" s="15"/>
      <c r="DB12" s="15"/>
      <c r="DC12" s="101"/>
      <c r="DD12" s="110"/>
    </row>
    <row r="13" spans="1:111" s="92" customFormat="1" ht="28.8">
      <c r="A13" s="73" t="s">
        <v>205</v>
      </c>
      <c r="B13" s="112" t="s">
        <v>481</v>
      </c>
      <c r="C13" s="95" t="s">
        <v>482</v>
      </c>
      <c r="D13" s="15"/>
      <c r="E13" s="96"/>
      <c r="F13" s="106"/>
      <c r="G13" s="121"/>
      <c r="H13" s="15"/>
      <c r="I13" s="15"/>
      <c r="J13" s="15"/>
      <c r="K13" s="15"/>
      <c r="L13" s="15"/>
      <c r="M13" s="15"/>
      <c r="N13" s="15"/>
      <c r="O13" s="15"/>
      <c r="P13" s="15"/>
      <c r="Q13" s="15"/>
      <c r="R13" s="15"/>
      <c r="S13" s="15"/>
      <c r="T13" s="15"/>
      <c r="U13" s="15"/>
      <c r="V13" s="15"/>
      <c r="W13" s="15"/>
      <c r="X13" s="15"/>
      <c r="Y13" s="101"/>
      <c r="Z13" s="101"/>
      <c r="AA13" s="122"/>
      <c r="AB13" s="103"/>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15"/>
      <c r="BT13" s="29"/>
      <c r="BU13" s="29"/>
      <c r="BV13" s="29"/>
      <c r="BW13" s="29"/>
      <c r="BX13" s="29"/>
      <c r="BY13" s="29"/>
      <c r="BZ13" s="29"/>
      <c r="CA13" s="29"/>
      <c r="CB13" s="29"/>
      <c r="CC13" s="29"/>
      <c r="CD13" s="29"/>
      <c r="CE13" s="29"/>
      <c r="CF13" s="29"/>
      <c r="CG13" s="29"/>
      <c r="CH13" s="29"/>
      <c r="CI13" s="29"/>
      <c r="CJ13" s="115"/>
      <c r="CK13" s="103"/>
      <c r="CL13" s="105"/>
      <c r="CM13" s="106"/>
      <c r="CN13" s="15"/>
      <c r="CO13" s="15"/>
      <c r="CP13" s="15"/>
      <c r="CQ13" s="15"/>
      <c r="CR13" s="15"/>
      <c r="CS13" s="15"/>
      <c r="CT13" s="15"/>
      <c r="CU13" s="107"/>
      <c r="CV13" s="121"/>
      <c r="CW13" s="15"/>
      <c r="CX13" s="15"/>
      <c r="CY13" s="15"/>
      <c r="CZ13" s="15"/>
      <c r="DA13" s="15"/>
      <c r="DB13" s="15"/>
      <c r="DC13" s="101"/>
      <c r="DD13" s="110"/>
    </row>
    <row r="14" spans="1:111" s="92" customFormat="1" ht="85.5" customHeight="1" thickBot="1">
      <c r="A14" s="73" t="s">
        <v>207</v>
      </c>
      <c r="B14" s="124" t="s">
        <v>483</v>
      </c>
      <c r="C14" s="125" t="s">
        <v>484</v>
      </c>
      <c r="D14" s="126" t="s">
        <v>485</v>
      </c>
      <c r="E14" s="127"/>
      <c r="F14" s="128" t="s">
        <v>486</v>
      </c>
      <c r="G14" s="124" t="s">
        <v>486</v>
      </c>
      <c r="H14" s="128" t="s">
        <v>486</v>
      </c>
      <c r="I14" s="128" t="s">
        <v>487</v>
      </c>
      <c r="J14" s="128" t="s">
        <v>487</v>
      </c>
      <c r="K14" s="128" t="s">
        <v>486</v>
      </c>
      <c r="L14" s="129" t="s">
        <v>486</v>
      </c>
      <c r="M14" s="129" t="s">
        <v>486</v>
      </c>
      <c r="N14" s="129" t="s">
        <v>488</v>
      </c>
      <c r="O14" s="130" t="s">
        <v>489</v>
      </c>
      <c r="P14" s="130" t="s">
        <v>489</v>
      </c>
      <c r="Q14" s="125" t="s">
        <v>490</v>
      </c>
      <c r="R14" s="130" t="s">
        <v>489</v>
      </c>
      <c r="S14" s="130" t="s">
        <v>489</v>
      </c>
      <c r="T14" s="125" t="s">
        <v>489</v>
      </c>
      <c r="U14" s="125" t="s">
        <v>489</v>
      </c>
      <c r="V14" s="130" t="s">
        <v>489</v>
      </c>
      <c r="W14" s="130" t="s">
        <v>489</v>
      </c>
      <c r="X14" s="130" t="s">
        <v>491</v>
      </c>
      <c r="Y14" s="130" t="s">
        <v>492</v>
      </c>
      <c r="Z14" s="130" t="s">
        <v>492</v>
      </c>
      <c r="AA14" s="131" t="s">
        <v>493</v>
      </c>
      <c r="AB14" s="132"/>
      <c r="AC14" s="133"/>
      <c r="AD14" s="133"/>
      <c r="AE14" s="133"/>
      <c r="AF14" s="133"/>
      <c r="AG14" s="133"/>
      <c r="AH14" s="133"/>
      <c r="AI14" s="133"/>
      <c r="AJ14" s="133"/>
      <c r="AK14" s="133"/>
      <c r="AL14" s="133"/>
      <c r="AM14" s="133"/>
      <c r="AN14" s="133"/>
      <c r="AO14" s="134" t="s">
        <v>486</v>
      </c>
      <c r="AP14" s="133"/>
      <c r="AQ14" s="133"/>
      <c r="AR14" s="133"/>
      <c r="AS14" s="133"/>
      <c r="AT14" s="133"/>
      <c r="AU14" s="133"/>
      <c r="AV14" s="125" t="s">
        <v>494</v>
      </c>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25" t="s">
        <v>495</v>
      </c>
      <c r="BT14" s="133"/>
      <c r="BU14" s="133"/>
      <c r="BV14" s="133"/>
      <c r="BW14" s="125" t="s">
        <v>493</v>
      </c>
      <c r="BX14" s="133"/>
      <c r="BY14" s="133"/>
      <c r="BZ14" s="133"/>
      <c r="CA14" s="133"/>
      <c r="CB14" s="133"/>
      <c r="CC14" s="133"/>
      <c r="CD14" s="133"/>
      <c r="CE14" s="133"/>
      <c r="CF14" s="133"/>
      <c r="CG14" s="133"/>
      <c r="CH14" s="133"/>
      <c r="CI14" s="133"/>
      <c r="CJ14" s="135"/>
      <c r="CK14" s="132"/>
      <c r="CL14" s="136"/>
      <c r="CM14" s="137"/>
      <c r="CN14" s="138"/>
      <c r="CO14" s="138"/>
      <c r="CP14" s="138"/>
      <c r="CQ14" s="138"/>
      <c r="CR14" s="138"/>
      <c r="CS14" s="138"/>
      <c r="CT14" s="138"/>
      <c r="CU14" s="139"/>
      <c r="CV14" s="140" t="s">
        <v>496</v>
      </c>
      <c r="CW14" s="141" t="s">
        <v>497</v>
      </c>
      <c r="CX14" s="126" t="s">
        <v>486</v>
      </c>
      <c r="CY14" s="125" t="s">
        <v>498</v>
      </c>
      <c r="CZ14" s="126" t="s">
        <v>499</v>
      </c>
      <c r="DA14" s="126" t="s">
        <v>500</v>
      </c>
      <c r="DB14" s="141" t="s">
        <v>501</v>
      </c>
      <c r="DC14" s="142" t="s">
        <v>493</v>
      </c>
      <c r="DD14" s="143"/>
    </row>
    <row r="15" spans="1:111" s="43" customFormat="1">
      <c r="A15" s="144"/>
      <c r="B15" s="145"/>
      <c r="C15" s="145"/>
      <c r="D15" s="146"/>
      <c r="E15" s="145"/>
      <c r="F15" s="145"/>
      <c r="G15" s="145"/>
      <c r="H15" s="145"/>
      <c r="I15" s="145"/>
      <c r="J15" s="145"/>
      <c r="K15" s="145"/>
      <c r="L15" s="145"/>
      <c r="M15" s="145"/>
      <c r="N15" s="145"/>
      <c r="O15" s="145"/>
      <c r="P15" s="145"/>
      <c r="Q15" s="145"/>
      <c r="R15" s="145"/>
      <c r="S15" s="145"/>
      <c r="T15" s="145"/>
      <c r="U15" s="145"/>
      <c r="V15" s="145"/>
      <c r="W15" s="145"/>
      <c r="X15" s="145"/>
      <c r="Y15" s="145"/>
      <c r="Z15" s="145"/>
      <c r="AA15" s="145"/>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row>
    <row r="16" spans="1:111" ht="44.4" customHeight="1">
      <c r="A16" s="313" t="s">
        <v>502</v>
      </c>
      <c r="B16" s="148"/>
      <c r="C16" s="148"/>
      <c r="D16" s="148"/>
      <c r="E16" s="148" t="s">
        <v>503</v>
      </c>
      <c r="F16" s="148"/>
      <c r="G16" s="148"/>
      <c r="H16" s="148"/>
      <c r="I16" s="148"/>
      <c r="J16" s="148"/>
      <c r="K16" s="148"/>
      <c r="L16" s="148"/>
      <c r="M16" s="148"/>
      <c r="N16" s="148"/>
      <c r="O16" s="148"/>
      <c r="P16" s="148"/>
      <c r="Q16" s="148"/>
      <c r="R16" s="148"/>
      <c r="S16" s="148"/>
      <c r="T16" s="148"/>
      <c r="U16" s="148"/>
      <c r="V16" s="148"/>
      <c r="W16" s="148"/>
      <c r="X16" s="148"/>
      <c r="Y16" s="148"/>
      <c r="Z16" s="148"/>
      <c r="AA16" s="148"/>
      <c r="CM16" s="148"/>
      <c r="CN16" s="148"/>
      <c r="CO16" s="148"/>
      <c r="CP16" s="148"/>
      <c r="CQ16" s="148"/>
      <c r="CR16" s="148"/>
      <c r="CS16" s="148"/>
      <c r="CT16" s="148"/>
      <c r="CU16" s="148"/>
      <c r="CV16" s="148"/>
      <c r="CW16" s="148"/>
      <c r="CX16" s="148"/>
      <c r="CY16" s="148"/>
      <c r="CZ16" s="148"/>
      <c r="DA16" s="148"/>
      <c r="DB16" s="148"/>
      <c r="DC16" s="148"/>
      <c r="DD16" s="148"/>
    </row>
    <row r="17" spans="1:108" ht="44.4" customHeight="1">
      <c r="A17" s="313"/>
      <c r="B17" s="148"/>
      <c r="C17" s="148"/>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8"/>
      <c r="CM17" s="148"/>
      <c r="CN17" s="148"/>
      <c r="CO17" s="148"/>
      <c r="CP17" s="148"/>
      <c r="CQ17" s="148"/>
      <c r="CR17" s="148"/>
      <c r="CS17" s="148"/>
      <c r="CT17" s="148"/>
      <c r="CU17" s="148"/>
      <c r="CV17" s="148"/>
      <c r="CW17" s="148"/>
      <c r="CX17" s="148"/>
      <c r="CY17" s="148"/>
      <c r="CZ17" s="148"/>
      <c r="DA17" s="148"/>
      <c r="DB17" s="148"/>
      <c r="DC17" s="148"/>
      <c r="DD17" s="148"/>
    </row>
    <row r="18" spans="1:108" ht="44.4" customHeight="1">
      <c r="A18" s="313"/>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c r="CM18" s="148"/>
      <c r="CN18" s="148"/>
      <c r="CO18" s="148"/>
      <c r="CP18" s="148"/>
      <c r="CQ18" s="148"/>
      <c r="CR18" s="148"/>
      <c r="CS18" s="148"/>
      <c r="CT18" s="148"/>
      <c r="CU18" s="148"/>
      <c r="CV18" s="148"/>
      <c r="CW18" s="148"/>
      <c r="CX18" s="148"/>
      <c r="CY18" s="148"/>
      <c r="CZ18" s="148"/>
      <c r="DA18" s="148"/>
      <c r="DB18" s="148"/>
      <c r="DC18" s="148"/>
      <c r="DD18" s="148"/>
    </row>
  </sheetData>
  <mergeCells count="20">
    <mergeCell ref="DD1:DD4"/>
    <mergeCell ref="B2:B4"/>
    <mergeCell ref="C2:C4"/>
    <mergeCell ref="D2:D4"/>
    <mergeCell ref="E2:E4"/>
    <mergeCell ref="F2:N3"/>
    <mergeCell ref="CM2:CU3"/>
    <mergeCell ref="CV2:DC2"/>
    <mergeCell ref="CW3:CY3"/>
    <mergeCell ref="CZ3:DB3"/>
    <mergeCell ref="DC3:DC4"/>
    <mergeCell ref="A16:A18"/>
    <mergeCell ref="O2:W3"/>
    <mergeCell ref="X2:Z3"/>
    <mergeCell ref="AA2:AA4"/>
    <mergeCell ref="AB2:CL3"/>
    <mergeCell ref="A1:A4"/>
    <mergeCell ref="B1:E1"/>
    <mergeCell ref="F1:Z1"/>
    <mergeCell ref="AA1:DC1"/>
  </mergeCells>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9058C-6AF6-417F-A705-2E2EA4BE820C}">
  <dimension ref="A1:Y48"/>
  <sheetViews>
    <sheetView zoomScale="91" workbookViewId="0">
      <pane xSplit="1" ySplit="1" topLeftCell="B2" activePane="bottomRight" state="frozen"/>
      <selection pane="topRight" activeCell="B1" sqref="B1"/>
      <selection pane="bottomLeft" activeCell="A2" sqref="A2"/>
      <selection pane="bottomRight" activeCell="B21" sqref="B21:B48"/>
    </sheetView>
  </sheetViews>
  <sheetFormatPr defaultRowHeight="14.4"/>
  <cols>
    <col min="1" max="1" width="20.109375" bestFit="1" customWidth="1"/>
    <col min="2" max="2" width="33.109375" customWidth="1"/>
    <col min="3" max="3" width="255.5546875" bestFit="1" customWidth="1"/>
    <col min="4" max="4" width="39.5546875" customWidth="1"/>
    <col min="5" max="5" width="29.88671875" customWidth="1"/>
    <col min="6" max="6" width="23" customWidth="1"/>
    <col min="7" max="7" width="13.5546875" customWidth="1"/>
    <col min="8" max="8" width="19.88671875" customWidth="1"/>
    <col min="9" max="9" width="22.5546875" bestFit="1" customWidth="1"/>
    <col min="10" max="10" width="36.5546875" customWidth="1"/>
    <col min="11" max="11" width="16.88671875" bestFit="1" customWidth="1"/>
    <col min="12" max="12" width="10.109375" bestFit="1" customWidth="1"/>
  </cols>
  <sheetData>
    <row r="1" spans="1:25" ht="15.6">
      <c r="A1" s="51" t="s">
        <v>504</v>
      </c>
      <c r="B1" s="51" t="s">
        <v>505</v>
      </c>
      <c r="C1" s="51" t="s">
        <v>506</v>
      </c>
      <c r="D1" s="51" t="s">
        <v>507</v>
      </c>
      <c r="E1" s="51" t="s">
        <v>508</v>
      </c>
      <c r="F1" s="51" t="s">
        <v>509</v>
      </c>
      <c r="G1" s="51" t="s">
        <v>510</v>
      </c>
      <c r="H1" s="51" t="s">
        <v>511</v>
      </c>
      <c r="I1" s="51" t="s">
        <v>512</v>
      </c>
      <c r="J1" s="51" t="s">
        <v>513</v>
      </c>
      <c r="K1" s="51" t="s">
        <v>514</v>
      </c>
      <c r="L1" s="51" t="s">
        <v>515</v>
      </c>
      <c r="Y1" t="s">
        <v>516</v>
      </c>
    </row>
    <row r="2" spans="1:25">
      <c r="A2" s="358" t="s">
        <v>517</v>
      </c>
      <c r="B2" s="6" t="s">
        <v>518</v>
      </c>
      <c r="C2" s="6" t="s">
        <v>519</v>
      </c>
      <c r="D2" s="6" t="s">
        <v>520</v>
      </c>
      <c r="E2" s="6" t="s">
        <v>521</v>
      </c>
      <c r="F2" s="6" t="s">
        <v>522</v>
      </c>
      <c r="G2" s="6" t="s">
        <v>523</v>
      </c>
      <c r="H2" s="6" t="s">
        <v>524</v>
      </c>
      <c r="I2" s="6" t="s">
        <v>525</v>
      </c>
      <c r="J2" s="6" t="s">
        <v>526</v>
      </c>
      <c r="K2" s="6" t="s">
        <v>527</v>
      </c>
      <c r="L2" s="6" t="s">
        <v>516</v>
      </c>
      <c r="Y2" t="s">
        <v>528</v>
      </c>
    </row>
    <row r="3" spans="1:25">
      <c r="A3" s="359"/>
      <c r="B3" s="6" t="s">
        <v>529</v>
      </c>
      <c r="C3" s="6" t="s">
        <v>530</v>
      </c>
      <c r="D3" s="6" t="s">
        <v>531</v>
      </c>
      <c r="E3" s="6" t="s">
        <v>532</v>
      </c>
      <c r="F3" s="6" t="s">
        <v>533</v>
      </c>
      <c r="G3" s="6" t="s">
        <v>523</v>
      </c>
      <c r="H3" s="6" t="s">
        <v>523</v>
      </c>
      <c r="I3" s="6" t="s">
        <v>531</v>
      </c>
      <c r="J3" s="6" t="s">
        <v>531</v>
      </c>
      <c r="K3" s="6" t="s">
        <v>534</v>
      </c>
      <c r="L3" s="6" t="s">
        <v>516</v>
      </c>
    </row>
    <row r="4" spans="1:25">
      <c r="A4" s="359"/>
      <c r="B4" s="6" t="s">
        <v>535</v>
      </c>
      <c r="C4" s="6" t="s">
        <v>536</v>
      </c>
      <c r="D4" s="6" t="s">
        <v>537</v>
      </c>
      <c r="E4" s="6" t="s">
        <v>538</v>
      </c>
      <c r="F4" s="6" t="s">
        <v>539</v>
      </c>
      <c r="G4" s="6" t="s">
        <v>523</v>
      </c>
      <c r="H4" s="6" t="s">
        <v>540</v>
      </c>
      <c r="I4" s="6" t="s">
        <v>541</v>
      </c>
      <c r="J4" s="6" t="s">
        <v>542</v>
      </c>
      <c r="K4" s="6" t="s">
        <v>543</v>
      </c>
      <c r="L4" s="6" t="s">
        <v>516</v>
      </c>
    </row>
    <row r="5" spans="1:25">
      <c r="A5" s="359"/>
      <c r="B5" s="6" t="s">
        <v>544</v>
      </c>
      <c r="C5" s="6" t="s">
        <v>545</v>
      </c>
      <c r="D5" s="6" t="s">
        <v>531</v>
      </c>
      <c r="E5" s="6" t="s">
        <v>546</v>
      </c>
      <c r="F5" s="6" t="s">
        <v>531</v>
      </c>
      <c r="G5" s="6" t="s">
        <v>523</v>
      </c>
      <c r="H5" s="6" t="s">
        <v>523</v>
      </c>
      <c r="I5" s="6" t="s">
        <v>531</v>
      </c>
      <c r="J5" s="6" t="s">
        <v>531</v>
      </c>
      <c r="K5" s="6" t="s">
        <v>534</v>
      </c>
      <c r="L5" s="6" t="s">
        <v>516</v>
      </c>
    </row>
    <row r="6" spans="1:25">
      <c r="A6" s="359"/>
      <c r="B6" s="6" t="s">
        <v>547</v>
      </c>
      <c r="C6" s="6" t="s">
        <v>548</v>
      </c>
      <c r="D6" s="6" t="s">
        <v>549</v>
      </c>
      <c r="E6" s="6" t="s">
        <v>550</v>
      </c>
      <c r="F6" s="6" t="s">
        <v>551</v>
      </c>
      <c r="G6" s="6" t="s">
        <v>523</v>
      </c>
      <c r="H6" s="6" t="s">
        <v>523</v>
      </c>
      <c r="I6" s="6" t="s">
        <v>552</v>
      </c>
      <c r="J6" s="6" t="s">
        <v>553</v>
      </c>
      <c r="K6" s="6" t="s">
        <v>554</v>
      </c>
      <c r="L6" s="6" t="s">
        <v>528</v>
      </c>
    </row>
    <row r="7" spans="1:25">
      <c r="A7" s="359"/>
      <c r="B7" s="6" t="s">
        <v>555</v>
      </c>
      <c r="C7" s="6" t="s">
        <v>556</v>
      </c>
      <c r="D7" s="6" t="s">
        <v>557</v>
      </c>
      <c r="E7" s="6" t="s">
        <v>558</v>
      </c>
      <c r="F7" s="6" t="s">
        <v>559</v>
      </c>
      <c r="G7" s="6" t="s">
        <v>523</v>
      </c>
      <c r="H7" s="6" t="s">
        <v>523</v>
      </c>
      <c r="I7" s="6" t="s">
        <v>560</v>
      </c>
      <c r="J7" s="6" t="s">
        <v>561</v>
      </c>
      <c r="K7" s="6" t="s">
        <v>554</v>
      </c>
      <c r="L7" s="6" t="s">
        <v>528</v>
      </c>
    </row>
    <row r="8" spans="1:25">
      <c r="A8" s="359"/>
      <c r="B8" s="6" t="s">
        <v>562</v>
      </c>
      <c r="C8" s="6" t="s">
        <v>563</v>
      </c>
      <c r="D8" s="6" t="s">
        <v>564</v>
      </c>
      <c r="E8" s="6" t="s">
        <v>565</v>
      </c>
      <c r="F8" s="6" t="s">
        <v>566</v>
      </c>
      <c r="G8" s="6" t="s">
        <v>523</v>
      </c>
      <c r="H8" s="6" t="s">
        <v>523</v>
      </c>
      <c r="I8" s="6" t="s">
        <v>567</v>
      </c>
      <c r="J8" s="6" t="s">
        <v>568</v>
      </c>
      <c r="K8" s="6" t="s">
        <v>554</v>
      </c>
      <c r="L8" s="6" t="s">
        <v>528</v>
      </c>
    </row>
    <row r="9" spans="1:25">
      <c r="A9" s="359"/>
      <c r="B9" s="6" t="s">
        <v>569</v>
      </c>
      <c r="C9" s="6" t="s">
        <v>570</v>
      </c>
      <c r="D9" s="6" t="s">
        <v>531</v>
      </c>
      <c r="E9" s="6" t="s">
        <v>571</v>
      </c>
      <c r="F9" s="6" t="s">
        <v>531</v>
      </c>
      <c r="G9" s="6" t="s">
        <v>523</v>
      </c>
      <c r="H9" s="6" t="s">
        <v>523</v>
      </c>
      <c r="I9" s="6" t="s">
        <v>531</v>
      </c>
      <c r="J9" s="6" t="s">
        <v>531</v>
      </c>
      <c r="K9" s="6" t="s">
        <v>554</v>
      </c>
      <c r="L9" s="6" t="s">
        <v>528</v>
      </c>
    </row>
    <row r="10" spans="1:25" ht="72">
      <c r="A10" s="359"/>
      <c r="B10" s="6" t="s">
        <v>572</v>
      </c>
      <c r="C10" s="6" t="s">
        <v>573</v>
      </c>
      <c r="D10" s="57" t="s">
        <v>574</v>
      </c>
      <c r="E10" s="6" t="s">
        <v>575</v>
      </c>
      <c r="F10" s="6" t="s">
        <v>576</v>
      </c>
      <c r="G10" s="6" t="s">
        <v>523</v>
      </c>
      <c r="H10" s="6" t="s">
        <v>523</v>
      </c>
      <c r="I10" s="6" t="s">
        <v>577</v>
      </c>
      <c r="J10" s="6" t="s">
        <v>578</v>
      </c>
      <c r="K10" s="6" t="s">
        <v>554</v>
      </c>
      <c r="L10" s="6" t="s">
        <v>528</v>
      </c>
    </row>
    <row r="11" spans="1:25">
      <c r="A11" s="359"/>
      <c r="B11" s="6" t="s">
        <v>579</v>
      </c>
      <c r="C11" s="6" t="s">
        <v>580</v>
      </c>
      <c r="D11" s="6" t="s">
        <v>581</v>
      </c>
      <c r="E11" s="6" t="s">
        <v>582</v>
      </c>
      <c r="F11" s="6" t="s">
        <v>583</v>
      </c>
      <c r="G11" s="6" t="s">
        <v>523</v>
      </c>
      <c r="H11" s="6" t="s">
        <v>523</v>
      </c>
      <c r="I11" s="6" t="s">
        <v>584</v>
      </c>
      <c r="J11" s="6" t="s">
        <v>585</v>
      </c>
      <c r="K11" s="6" t="s">
        <v>554</v>
      </c>
      <c r="L11" s="6" t="s">
        <v>528</v>
      </c>
    </row>
    <row r="12" spans="1:25">
      <c r="A12" s="359"/>
      <c r="B12" s="6" t="s">
        <v>586</v>
      </c>
      <c r="C12" s="6" t="s">
        <v>587</v>
      </c>
      <c r="D12" s="6" t="s">
        <v>588</v>
      </c>
      <c r="E12" s="6" t="s">
        <v>589</v>
      </c>
      <c r="F12" s="6" t="s">
        <v>590</v>
      </c>
      <c r="G12" s="6" t="s">
        <v>523</v>
      </c>
      <c r="H12" s="6" t="s">
        <v>523</v>
      </c>
      <c r="I12" s="6" t="s">
        <v>591</v>
      </c>
      <c r="J12" s="6" t="s">
        <v>592</v>
      </c>
      <c r="K12" s="6" t="s">
        <v>554</v>
      </c>
      <c r="L12" s="6" t="s">
        <v>528</v>
      </c>
    </row>
    <row r="13" spans="1:25">
      <c r="A13" s="360"/>
      <c r="B13" s="6" t="s">
        <v>593</v>
      </c>
      <c r="C13" s="6" t="s">
        <v>594</v>
      </c>
      <c r="D13" s="6" t="s">
        <v>595</v>
      </c>
      <c r="E13" s="6" t="s">
        <v>596</v>
      </c>
      <c r="F13" s="6" t="s">
        <v>597</v>
      </c>
      <c r="G13" s="6" t="s">
        <v>523</v>
      </c>
      <c r="H13" s="6" t="s">
        <v>523</v>
      </c>
      <c r="I13" s="6" t="s">
        <v>598</v>
      </c>
      <c r="J13" s="6" t="s">
        <v>599</v>
      </c>
      <c r="K13" s="6" t="s">
        <v>554</v>
      </c>
      <c r="L13" s="6" t="s">
        <v>528</v>
      </c>
    </row>
    <row r="14" spans="1:25">
      <c r="A14" s="6" t="s">
        <v>600</v>
      </c>
      <c r="B14" s="52" t="s">
        <v>601</v>
      </c>
      <c r="C14" s="53" t="s">
        <v>602</v>
      </c>
      <c r="D14" s="6" t="s">
        <v>531</v>
      </c>
      <c r="E14" s="6" t="s">
        <v>531</v>
      </c>
      <c r="F14" s="53" t="s">
        <v>603</v>
      </c>
      <c r="G14" s="6" t="s">
        <v>523</v>
      </c>
      <c r="H14" s="6" t="s">
        <v>523</v>
      </c>
      <c r="I14" s="53" t="s">
        <v>604</v>
      </c>
      <c r="J14" s="6" t="s">
        <v>531</v>
      </c>
      <c r="K14" s="6" t="s">
        <v>554</v>
      </c>
      <c r="L14" s="6" t="s">
        <v>528</v>
      </c>
    </row>
    <row r="15" spans="1:25">
      <c r="A15" s="358" t="s">
        <v>605</v>
      </c>
      <c r="B15" s="6" t="s">
        <v>606</v>
      </c>
      <c r="C15" s="6" t="s">
        <v>607</v>
      </c>
      <c r="D15" s="6" t="s">
        <v>608</v>
      </c>
      <c r="E15" s="6" t="s">
        <v>609</v>
      </c>
      <c r="F15" s="6" t="s">
        <v>610</v>
      </c>
      <c r="G15" s="6" t="s">
        <v>523</v>
      </c>
      <c r="H15" s="6" t="s">
        <v>523</v>
      </c>
      <c r="I15" s="6" t="s">
        <v>611</v>
      </c>
      <c r="J15" s="6" t="s">
        <v>612</v>
      </c>
      <c r="K15" s="6" t="s">
        <v>534</v>
      </c>
      <c r="L15" s="6" t="s">
        <v>516</v>
      </c>
    </row>
    <row r="16" spans="1:25">
      <c r="A16" s="359"/>
      <c r="B16" s="6" t="s">
        <v>613</v>
      </c>
      <c r="C16" s="6" t="s">
        <v>614</v>
      </c>
      <c r="D16" s="6" t="s">
        <v>615</v>
      </c>
      <c r="E16" s="6" t="s">
        <v>616</v>
      </c>
      <c r="F16" s="6" t="s">
        <v>617</v>
      </c>
      <c r="G16" s="6" t="s">
        <v>523</v>
      </c>
      <c r="H16" s="6" t="s">
        <v>523</v>
      </c>
      <c r="I16" s="6" t="s">
        <v>618</v>
      </c>
      <c r="J16" s="6" t="s">
        <v>619</v>
      </c>
      <c r="K16" s="6" t="s">
        <v>534</v>
      </c>
      <c r="L16" s="6" t="s">
        <v>516</v>
      </c>
    </row>
    <row r="17" spans="1:12">
      <c r="A17" s="359"/>
      <c r="B17" s="6" t="s">
        <v>620</v>
      </c>
      <c r="C17" s="6" t="s">
        <v>621</v>
      </c>
      <c r="D17" s="6" t="s">
        <v>531</v>
      </c>
      <c r="E17" s="6" t="s">
        <v>622</v>
      </c>
      <c r="F17" s="6" t="s">
        <v>533</v>
      </c>
      <c r="G17" s="6" t="s">
        <v>523</v>
      </c>
      <c r="H17" s="6" t="s">
        <v>540</v>
      </c>
      <c r="I17" s="6" t="s">
        <v>531</v>
      </c>
      <c r="J17" s="6" t="s">
        <v>531</v>
      </c>
      <c r="K17" s="6" t="s">
        <v>623</v>
      </c>
      <c r="L17" s="6" t="s">
        <v>516</v>
      </c>
    </row>
    <row r="18" spans="1:12">
      <c r="A18" s="359"/>
      <c r="B18" s="6" t="s">
        <v>624</v>
      </c>
      <c r="C18" s="6" t="s">
        <v>625</v>
      </c>
      <c r="D18" s="6" t="s">
        <v>626</v>
      </c>
      <c r="E18" s="6" t="s">
        <v>627</v>
      </c>
      <c r="F18" s="6" t="s">
        <v>628</v>
      </c>
      <c r="G18" s="6" t="s">
        <v>523</v>
      </c>
      <c r="H18" s="6" t="s">
        <v>523</v>
      </c>
      <c r="I18" s="6" t="s">
        <v>629</v>
      </c>
      <c r="J18" s="6" t="s">
        <v>630</v>
      </c>
      <c r="K18" s="6" t="s">
        <v>534</v>
      </c>
      <c r="L18" s="6" t="s">
        <v>516</v>
      </c>
    </row>
    <row r="19" spans="1:12">
      <c r="A19" s="359"/>
      <c r="B19" s="6" t="s">
        <v>631</v>
      </c>
      <c r="C19" s="6" t="s">
        <v>632</v>
      </c>
      <c r="D19" s="6" t="s">
        <v>633</v>
      </c>
      <c r="E19" s="6" t="s">
        <v>634</v>
      </c>
      <c r="F19" s="6" t="s">
        <v>635</v>
      </c>
      <c r="G19" s="6" t="s">
        <v>523</v>
      </c>
      <c r="H19" s="6" t="s">
        <v>523</v>
      </c>
      <c r="I19" s="6" t="s">
        <v>636</v>
      </c>
      <c r="J19" s="6" t="s">
        <v>637</v>
      </c>
      <c r="K19" s="6" t="s">
        <v>534</v>
      </c>
      <c r="L19" s="6" t="s">
        <v>516</v>
      </c>
    </row>
    <row r="20" spans="1:12">
      <c r="A20" s="359"/>
      <c r="B20" s="52" t="s">
        <v>638</v>
      </c>
      <c r="C20" s="53" t="s">
        <v>639</v>
      </c>
      <c r="D20" s="53" t="s">
        <v>640</v>
      </c>
      <c r="E20" s="53" t="s">
        <v>641</v>
      </c>
      <c r="F20" s="53" t="s">
        <v>642</v>
      </c>
      <c r="G20" s="6" t="s">
        <v>523</v>
      </c>
      <c r="H20" s="6" t="s">
        <v>523</v>
      </c>
      <c r="I20" s="53" t="s">
        <v>643</v>
      </c>
      <c r="J20" s="53" t="s">
        <v>644</v>
      </c>
      <c r="K20" s="6" t="s">
        <v>554</v>
      </c>
      <c r="L20" s="6" t="s">
        <v>528</v>
      </c>
    </row>
    <row r="21" spans="1:12">
      <c r="A21" s="359"/>
      <c r="B21" s="52" t="s">
        <v>645</v>
      </c>
      <c r="C21" s="53" t="s">
        <v>646</v>
      </c>
      <c r="D21" s="53" t="s">
        <v>647</v>
      </c>
      <c r="E21" s="53" t="s">
        <v>648</v>
      </c>
      <c r="F21" s="53" t="s">
        <v>649</v>
      </c>
      <c r="G21" s="6" t="s">
        <v>523</v>
      </c>
      <c r="H21" s="6" t="s">
        <v>523</v>
      </c>
      <c r="I21" s="53" t="s">
        <v>650</v>
      </c>
      <c r="J21" s="53" t="s">
        <v>651</v>
      </c>
      <c r="K21" s="6" t="s">
        <v>554</v>
      </c>
      <c r="L21" s="6" t="s">
        <v>528</v>
      </c>
    </row>
    <row r="22" spans="1:12">
      <c r="A22" s="359"/>
      <c r="B22" s="52" t="s">
        <v>652</v>
      </c>
      <c r="C22" s="53" t="s">
        <v>653</v>
      </c>
      <c r="D22" s="53" t="s">
        <v>654</v>
      </c>
      <c r="E22" s="53" t="s">
        <v>655</v>
      </c>
      <c r="F22" s="53" t="s">
        <v>649</v>
      </c>
      <c r="G22" s="6" t="s">
        <v>523</v>
      </c>
      <c r="H22" s="6" t="s">
        <v>523</v>
      </c>
      <c r="I22" s="53" t="s">
        <v>656</v>
      </c>
      <c r="J22" s="53" t="s">
        <v>657</v>
      </c>
      <c r="K22" s="6" t="s">
        <v>554</v>
      </c>
      <c r="L22" s="6" t="s">
        <v>528</v>
      </c>
    </row>
    <row r="23" spans="1:12">
      <c r="A23" s="359"/>
      <c r="B23" s="52" t="s">
        <v>658</v>
      </c>
      <c r="C23" s="53" t="s">
        <v>659</v>
      </c>
      <c r="D23" s="6" t="s">
        <v>531</v>
      </c>
      <c r="E23" s="53" t="s">
        <v>660</v>
      </c>
      <c r="F23" s="53" t="s">
        <v>661</v>
      </c>
      <c r="G23" s="6" t="s">
        <v>523</v>
      </c>
      <c r="H23" s="6" t="s">
        <v>523</v>
      </c>
      <c r="I23" s="6" t="s">
        <v>531</v>
      </c>
      <c r="J23" s="6" t="s">
        <v>531</v>
      </c>
      <c r="K23" s="6" t="s">
        <v>554</v>
      </c>
      <c r="L23" s="6" t="s">
        <v>528</v>
      </c>
    </row>
    <row r="24" spans="1:12">
      <c r="A24" s="359"/>
      <c r="B24" s="52" t="s">
        <v>662</v>
      </c>
      <c r="C24" s="53" t="s">
        <v>663</v>
      </c>
      <c r="D24" s="53" t="s">
        <v>664</v>
      </c>
      <c r="E24" s="53" t="s">
        <v>664</v>
      </c>
      <c r="F24" s="53" t="s">
        <v>661</v>
      </c>
      <c r="G24" s="6" t="s">
        <v>523</v>
      </c>
      <c r="H24" s="6" t="s">
        <v>523</v>
      </c>
      <c r="I24" s="53" t="s">
        <v>665</v>
      </c>
      <c r="J24" s="53" t="s">
        <v>666</v>
      </c>
      <c r="K24" s="6" t="s">
        <v>554</v>
      </c>
      <c r="L24" s="6" t="s">
        <v>528</v>
      </c>
    </row>
    <row r="25" spans="1:12">
      <c r="A25" s="359"/>
      <c r="B25" s="52" t="s">
        <v>667</v>
      </c>
      <c r="C25" s="53" t="s">
        <v>668</v>
      </c>
      <c r="D25" s="53" t="s">
        <v>669</v>
      </c>
      <c r="E25" s="53" t="s">
        <v>670</v>
      </c>
      <c r="F25" s="53" t="s">
        <v>649</v>
      </c>
      <c r="G25" s="6" t="s">
        <v>523</v>
      </c>
      <c r="H25" s="6" t="s">
        <v>523</v>
      </c>
      <c r="I25" s="53" t="s">
        <v>671</v>
      </c>
      <c r="J25" s="53" t="s">
        <v>672</v>
      </c>
      <c r="K25" s="6" t="s">
        <v>554</v>
      </c>
      <c r="L25" s="6" t="s">
        <v>528</v>
      </c>
    </row>
    <row r="26" spans="1:12">
      <c r="A26" s="359"/>
      <c r="B26" s="52" t="s">
        <v>673</v>
      </c>
      <c r="C26" s="53" t="s">
        <v>674</v>
      </c>
      <c r="D26" s="53" t="s">
        <v>675</v>
      </c>
      <c r="E26" s="53" t="s">
        <v>676</v>
      </c>
      <c r="F26" s="53" t="s">
        <v>677</v>
      </c>
      <c r="G26" s="6" t="s">
        <v>523</v>
      </c>
      <c r="H26" s="6" t="s">
        <v>523</v>
      </c>
      <c r="I26" s="53" t="s">
        <v>678</v>
      </c>
      <c r="J26" s="53" t="s">
        <v>679</v>
      </c>
      <c r="K26" s="6" t="s">
        <v>554</v>
      </c>
      <c r="L26" s="6" t="s">
        <v>528</v>
      </c>
    </row>
    <row r="27" spans="1:12" ht="14.4" customHeight="1">
      <c r="A27" s="359"/>
      <c r="B27" s="52" t="s">
        <v>680</v>
      </c>
      <c r="C27" s="53" t="s">
        <v>681</v>
      </c>
      <c r="D27" s="6" t="s">
        <v>531</v>
      </c>
      <c r="E27" s="53" t="s">
        <v>682</v>
      </c>
      <c r="F27" s="6" t="s">
        <v>531</v>
      </c>
      <c r="G27" s="6" t="s">
        <v>523</v>
      </c>
      <c r="H27" s="6" t="s">
        <v>523</v>
      </c>
      <c r="I27" s="6" t="s">
        <v>531</v>
      </c>
      <c r="J27" s="6" t="s">
        <v>531</v>
      </c>
      <c r="K27" s="6" t="s">
        <v>554</v>
      </c>
      <c r="L27" s="6" t="s">
        <v>528</v>
      </c>
    </row>
    <row r="28" spans="1:12">
      <c r="A28" s="359"/>
      <c r="B28" s="52" t="s">
        <v>683</v>
      </c>
      <c r="C28" s="53" t="s">
        <v>684</v>
      </c>
      <c r="D28" s="53" t="s">
        <v>685</v>
      </c>
      <c r="E28" s="53" t="s">
        <v>686</v>
      </c>
      <c r="F28" s="6" t="s">
        <v>531</v>
      </c>
      <c r="G28" s="6" t="s">
        <v>523</v>
      </c>
      <c r="H28" s="6" t="s">
        <v>523</v>
      </c>
      <c r="I28" s="53" t="s">
        <v>687</v>
      </c>
      <c r="J28" s="53" t="s">
        <v>688</v>
      </c>
      <c r="K28" s="6" t="s">
        <v>554</v>
      </c>
      <c r="L28" s="6" t="s">
        <v>528</v>
      </c>
    </row>
    <row r="29" spans="1:12">
      <c r="A29" s="359"/>
      <c r="B29" s="52" t="s">
        <v>689</v>
      </c>
      <c r="C29" s="53" t="s">
        <v>690</v>
      </c>
      <c r="D29" s="6" t="s">
        <v>531</v>
      </c>
      <c r="E29" s="53" t="s">
        <v>691</v>
      </c>
      <c r="F29" s="6" t="s">
        <v>531</v>
      </c>
      <c r="G29" s="6" t="s">
        <v>523</v>
      </c>
      <c r="H29" s="6" t="s">
        <v>523</v>
      </c>
      <c r="I29" s="6" t="s">
        <v>531</v>
      </c>
      <c r="J29" s="6" t="s">
        <v>531</v>
      </c>
      <c r="K29" s="6" t="s">
        <v>554</v>
      </c>
      <c r="L29" s="6" t="s">
        <v>528</v>
      </c>
    </row>
    <row r="30" spans="1:12">
      <c r="A30" s="358" t="s">
        <v>692</v>
      </c>
      <c r="B30" s="6" t="s">
        <v>693</v>
      </c>
      <c r="C30" s="6" t="s">
        <v>694</v>
      </c>
      <c r="D30" s="6" t="s">
        <v>695</v>
      </c>
      <c r="E30" s="6" t="s">
        <v>696</v>
      </c>
      <c r="F30" s="6" t="s">
        <v>697</v>
      </c>
      <c r="G30" s="6" t="s">
        <v>523</v>
      </c>
      <c r="H30" s="6" t="s">
        <v>523</v>
      </c>
      <c r="I30" s="6" t="s">
        <v>698</v>
      </c>
      <c r="J30" s="6" t="s">
        <v>699</v>
      </c>
      <c r="K30" s="6" t="s">
        <v>534</v>
      </c>
      <c r="L30" s="6" t="s">
        <v>516</v>
      </c>
    </row>
    <row r="31" spans="1:12">
      <c r="A31" s="359"/>
      <c r="B31" s="6" t="s">
        <v>700</v>
      </c>
      <c r="C31" s="6" t="s">
        <v>701</v>
      </c>
      <c r="D31" s="6" t="s">
        <v>702</v>
      </c>
      <c r="E31" s="6" t="s">
        <v>703</v>
      </c>
      <c r="F31" s="6" t="s">
        <v>704</v>
      </c>
      <c r="G31" s="6" t="s">
        <v>523</v>
      </c>
      <c r="H31" s="6" t="s">
        <v>523</v>
      </c>
      <c r="I31" s="6" t="s">
        <v>705</v>
      </c>
      <c r="J31" s="6" t="s">
        <v>706</v>
      </c>
      <c r="K31" s="6" t="s">
        <v>534</v>
      </c>
      <c r="L31" s="6" t="s">
        <v>516</v>
      </c>
    </row>
    <row r="32" spans="1:12">
      <c r="A32" s="359"/>
      <c r="B32" s="6" t="s">
        <v>707</v>
      </c>
      <c r="C32" s="6" t="s">
        <v>708</v>
      </c>
      <c r="D32" s="6" t="s">
        <v>709</v>
      </c>
      <c r="E32" s="6" t="s">
        <v>710</v>
      </c>
      <c r="F32" s="6" t="s">
        <v>711</v>
      </c>
      <c r="G32" s="6" t="s">
        <v>523</v>
      </c>
      <c r="H32" s="6" t="s">
        <v>523</v>
      </c>
      <c r="I32" s="6" t="s">
        <v>712</v>
      </c>
      <c r="J32" s="6" t="s">
        <v>713</v>
      </c>
      <c r="K32" s="6" t="s">
        <v>554</v>
      </c>
      <c r="L32" s="6" t="s">
        <v>528</v>
      </c>
    </row>
    <row r="33" spans="1:12">
      <c r="A33" s="359"/>
      <c r="B33" s="6" t="s">
        <v>714</v>
      </c>
      <c r="C33" s="6" t="s">
        <v>715</v>
      </c>
      <c r="D33" s="6" t="s">
        <v>716</v>
      </c>
      <c r="E33" s="6" t="s">
        <v>717</v>
      </c>
      <c r="F33" s="6" t="s">
        <v>531</v>
      </c>
      <c r="G33" s="6" t="s">
        <v>523</v>
      </c>
      <c r="H33" s="6" t="s">
        <v>523</v>
      </c>
      <c r="I33" s="6" t="s">
        <v>531</v>
      </c>
      <c r="J33" s="6" t="s">
        <v>531</v>
      </c>
      <c r="K33" s="6" t="s">
        <v>554</v>
      </c>
      <c r="L33" s="6" t="s">
        <v>528</v>
      </c>
    </row>
    <row r="34" spans="1:12">
      <c r="A34" s="359"/>
      <c r="B34" s="6" t="s">
        <v>718</v>
      </c>
      <c r="C34" s="6" t="s">
        <v>719</v>
      </c>
      <c r="D34" s="6" t="s">
        <v>720</v>
      </c>
      <c r="E34" s="6" t="s">
        <v>721</v>
      </c>
      <c r="F34" s="6" t="s">
        <v>722</v>
      </c>
      <c r="G34" s="6" t="s">
        <v>523</v>
      </c>
      <c r="H34" s="6" t="s">
        <v>523</v>
      </c>
      <c r="I34" s="6" t="s">
        <v>531</v>
      </c>
      <c r="J34" s="6" t="s">
        <v>531</v>
      </c>
      <c r="K34" s="6" t="s">
        <v>554</v>
      </c>
      <c r="L34" s="6" t="s">
        <v>528</v>
      </c>
    </row>
    <row r="35" spans="1:12">
      <c r="A35" s="359"/>
      <c r="B35" s="6" t="s">
        <v>723</v>
      </c>
      <c r="C35" s="6" t="s">
        <v>724</v>
      </c>
      <c r="D35" s="6" t="s">
        <v>725</v>
      </c>
      <c r="E35" s="6" t="s">
        <v>726</v>
      </c>
      <c r="F35" s="6" t="s">
        <v>727</v>
      </c>
      <c r="G35" s="6" t="s">
        <v>523</v>
      </c>
      <c r="H35" s="6" t="s">
        <v>523</v>
      </c>
      <c r="I35" s="6" t="s">
        <v>728</v>
      </c>
      <c r="J35" s="6" t="s">
        <v>531</v>
      </c>
      <c r="K35" s="6" t="s">
        <v>554</v>
      </c>
      <c r="L35" s="6" t="s">
        <v>528</v>
      </c>
    </row>
    <row r="36" spans="1:12">
      <c r="A36" s="359"/>
      <c r="B36" s="6" t="s">
        <v>729</v>
      </c>
      <c r="C36" s="6" t="s">
        <v>730</v>
      </c>
      <c r="D36" s="6" t="s">
        <v>731</v>
      </c>
      <c r="E36" s="6" t="s">
        <v>732</v>
      </c>
      <c r="F36" s="6" t="s">
        <v>733</v>
      </c>
      <c r="G36" s="6" t="s">
        <v>523</v>
      </c>
      <c r="H36" s="6" t="s">
        <v>523</v>
      </c>
      <c r="I36" s="6" t="s">
        <v>734</v>
      </c>
      <c r="J36" s="6" t="s">
        <v>531</v>
      </c>
      <c r="K36" s="6" t="s">
        <v>554</v>
      </c>
      <c r="L36" s="6" t="s">
        <v>528</v>
      </c>
    </row>
    <row r="37" spans="1:12">
      <c r="A37" s="359"/>
      <c r="B37" s="6" t="s">
        <v>735</v>
      </c>
      <c r="C37" s="6" t="s">
        <v>736</v>
      </c>
      <c r="D37" s="6" t="s">
        <v>531</v>
      </c>
      <c r="E37" s="6" t="s">
        <v>737</v>
      </c>
      <c r="F37" s="6" t="s">
        <v>531</v>
      </c>
      <c r="G37" s="6" t="s">
        <v>523</v>
      </c>
      <c r="H37" s="6" t="s">
        <v>523</v>
      </c>
      <c r="I37" s="6" t="s">
        <v>531</v>
      </c>
      <c r="J37" s="6" t="s">
        <v>531</v>
      </c>
      <c r="K37" s="6" t="s">
        <v>554</v>
      </c>
      <c r="L37" s="6" t="s">
        <v>528</v>
      </c>
    </row>
    <row r="38" spans="1:12">
      <c r="A38" s="359"/>
      <c r="B38" s="6" t="s">
        <v>738</v>
      </c>
      <c r="C38" s="6" t="s">
        <v>739</v>
      </c>
      <c r="D38" s="6" t="s">
        <v>740</v>
      </c>
      <c r="E38" s="6" t="s">
        <v>741</v>
      </c>
      <c r="F38" s="6" t="s">
        <v>742</v>
      </c>
      <c r="G38" s="6" t="s">
        <v>523</v>
      </c>
      <c r="H38" s="6" t="s">
        <v>523</v>
      </c>
      <c r="I38" s="6" t="s">
        <v>531</v>
      </c>
      <c r="J38" s="6" t="s">
        <v>531</v>
      </c>
      <c r="K38" s="6" t="s">
        <v>554</v>
      </c>
      <c r="L38" s="6" t="s">
        <v>528</v>
      </c>
    </row>
    <row r="39" spans="1:12">
      <c r="A39" s="359"/>
      <c r="B39" s="6" t="s">
        <v>743</v>
      </c>
      <c r="C39" s="6" t="s">
        <v>744</v>
      </c>
      <c r="D39" s="6" t="s">
        <v>745</v>
      </c>
      <c r="E39" s="6" t="s">
        <v>746</v>
      </c>
      <c r="F39" s="6" t="s">
        <v>531</v>
      </c>
      <c r="G39" s="6" t="s">
        <v>523</v>
      </c>
      <c r="H39" s="6" t="s">
        <v>523</v>
      </c>
      <c r="I39" s="6" t="s">
        <v>531</v>
      </c>
      <c r="J39" s="6" t="s">
        <v>531</v>
      </c>
      <c r="K39" s="6" t="s">
        <v>554</v>
      </c>
      <c r="L39" s="6" t="s">
        <v>528</v>
      </c>
    </row>
    <row r="40" spans="1:12">
      <c r="A40" s="359"/>
      <c r="B40" s="6" t="s">
        <v>692</v>
      </c>
      <c r="C40" s="6" t="s">
        <v>747</v>
      </c>
      <c r="D40" s="6" t="s">
        <v>748</v>
      </c>
      <c r="E40" s="6" t="s">
        <v>749</v>
      </c>
      <c r="F40" s="6" t="s">
        <v>750</v>
      </c>
      <c r="G40" s="6" t="s">
        <v>523</v>
      </c>
      <c r="H40" s="6" t="s">
        <v>523</v>
      </c>
      <c r="I40" s="6" t="s">
        <v>751</v>
      </c>
      <c r="J40" s="6" t="s">
        <v>531</v>
      </c>
      <c r="K40" s="6" t="s">
        <v>554</v>
      </c>
      <c r="L40" s="6" t="s">
        <v>528</v>
      </c>
    </row>
    <row r="41" spans="1:12">
      <c r="A41" s="358" t="s">
        <v>752</v>
      </c>
      <c r="B41" s="52" t="s">
        <v>178</v>
      </c>
      <c r="C41" s="53" t="s">
        <v>753</v>
      </c>
      <c r="D41" s="53" t="s">
        <v>754</v>
      </c>
      <c r="E41" s="53" t="s">
        <v>755</v>
      </c>
      <c r="F41" s="53" t="s">
        <v>756</v>
      </c>
      <c r="G41" s="6" t="s">
        <v>523</v>
      </c>
      <c r="H41" s="6" t="s">
        <v>523</v>
      </c>
      <c r="I41" s="53" t="s">
        <v>757</v>
      </c>
      <c r="J41" s="53" t="s">
        <v>758</v>
      </c>
      <c r="K41" s="6" t="s">
        <v>554</v>
      </c>
      <c r="L41" s="6" t="s">
        <v>528</v>
      </c>
    </row>
    <row r="42" spans="1:12">
      <c r="A42" s="360"/>
      <c r="B42" s="52" t="s">
        <v>759</v>
      </c>
      <c r="C42" s="53" t="s">
        <v>760</v>
      </c>
      <c r="D42" s="53" t="s">
        <v>761</v>
      </c>
      <c r="E42" s="53" t="s">
        <v>762</v>
      </c>
      <c r="F42" s="53" t="s">
        <v>763</v>
      </c>
      <c r="G42" s="6" t="s">
        <v>523</v>
      </c>
      <c r="H42" s="6" t="s">
        <v>523</v>
      </c>
      <c r="I42" s="53" t="s">
        <v>764</v>
      </c>
      <c r="J42" s="53" t="s">
        <v>765</v>
      </c>
      <c r="K42" s="6" t="s">
        <v>554</v>
      </c>
      <c r="L42" s="6" t="s">
        <v>528</v>
      </c>
    </row>
    <row r="43" spans="1:12">
      <c r="A43" s="54" t="s">
        <v>766</v>
      </c>
      <c r="B43" s="6" t="s">
        <v>178</v>
      </c>
      <c r="C43" s="6" t="s">
        <v>531</v>
      </c>
      <c r="D43" s="6" t="s">
        <v>767</v>
      </c>
      <c r="E43" s="6" t="s">
        <v>531</v>
      </c>
      <c r="F43" s="6" t="s">
        <v>768</v>
      </c>
      <c r="G43" s="6" t="s">
        <v>523</v>
      </c>
      <c r="H43" s="6" t="s">
        <v>523</v>
      </c>
      <c r="I43" s="6" t="s">
        <v>769</v>
      </c>
      <c r="J43" s="6" t="s">
        <v>531</v>
      </c>
      <c r="K43" s="6" t="s">
        <v>554</v>
      </c>
      <c r="L43" s="6" t="s">
        <v>528</v>
      </c>
    </row>
    <row r="44" spans="1:12">
      <c r="A44" s="359" t="s">
        <v>770</v>
      </c>
      <c r="B44" s="55" t="s">
        <v>771</v>
      </c>
      <c r="C44" s="6" t="s">
        <v>531</v>
      </c>
      <c r="D44" s="6" t="s">
        <v>531</v>
      </c>
      <c r="E44" s="6" t="s">
        <v>531</v>
      </c>
      <c r="F44" s="6" t="s">
        <v>531</v>
      </c>
      <c r="G44" s="6" t="s">
        <v>523</v>
      </c>
      <c r="H44" s="6" t="s">
        <v>523</v>
      </c>
      <c r="I44" s="6" t="s">
        <v>531</v>
      </c>
      <c r="J44" s="6" t="s">
        <v>531</v>
      </c>
      <c r="K44" s="6" t="s">
        <v>554</v>
      </c>
      <c r="L44" s="56" t="s">
        <v>528</v>
      </c>
    </row>
    <row r="45" spans="1:12">
      <c r="A45" s="359"/>
      <c r="B45" s="52" t="s">
        <v>772</v>
      </c>
      <c r="C45" s="53" t="s">
        <v>773</v>
      </c>
      <c r="D45" s="53" t="s">
        <v>774</v>
      </c>
      <c r="E45" s="6" t="s">
        <v>531</v>
      </c>
      <c r="F45" s="6" t="s">
        <v>531</v>
      </c>
      <c r="G45" s="6" t="s">
        <v>523</v>
      </c>
      <c r="H45" s="6" t="s">
        <v>523</v>
      </c>
      <c r="I45" s="6" t="s">
        <v>531</v>
      </c>
      <c r="J45" s="53" t="s">
        <v>775</v>
      </c>
      <c r="K45" s="6" t="s">
        <v>554</v>
      </c>
      <c r="L45" s="6" t="s">
        <v>528</v>
      </c>
    </row>
    <row r="46" spans="1:12">
      <c r="A46" s="359"/>
      <c r="B46" s="52" t="s">
        <v>776</v>
      </c>
      <c r="C46" s="53" t="s">
        <v>777</v>
      </c>
      <c r="D46" s="53" t="s">
        <v>778</v>
      </c>
      <c r="E46" s="53" t="s">
        <v>779</v>
      </c>
      <c r="F46" s="53" t="s">
        <v>649</v>
      </c>
      <c r="G46" s="6" t="s">
        <v>523</v>
      </c>
      <c r="H46" s="6" t="s">
        <v>523</v>
      </c>
      <c r="I46" s="53" t="s">
        <v>780</v>
      </c>
      <c r="J46" s="53" t="s">
        <v>781</v>
      </c>
      <c r="K46" s="6" t="s">
        <v>554</v>
      </c>
      <c r="L46" s="6" t="s">
        <v>528</v>
      </c>
    </row>
    <row r="47" spans="1:12">
      <c r="A47" s="356" t="s">
        <v>782</v>
      </c>
      <c r="B47" s="6" t="s">
        <v>783</v>
      </c>
      <c r="C47" s="6" t="s">
        <v>784</v>
      </c>
      <c r="D47" s="6" t="s">
        <v>785</v>
      </c>
      <c r="E47" s="6" t="s">
        <v>786</v>
      </c>
      <c r="F47" s="6" t="s">
        <v>787</v>
      </c>
      <c r="G47" s="6" t="s">
        <v>523</v>
      </c>
      <c r="H47" s="6" t="s">
        <v>523</v>
      </c>
      <c r="I47" s="6" t="s">
        <v>788</v>
      </c>
      <c r="J47" s="6" t="s">
        <v>531</v>
      </c>
      <c r="K47" s="6" t="s">
        <v>554</v>
      </c>
      <c r="L47" s="6" t="s">
        <v>528</v>
      </c>
    </row>
    <row r="48" spans="1:12">
      <c r="A48" s="357"/>
      <c r="B48" s="6" t="s">
        <v>789</v>
      </c>
      <c r="C48" s="6" t="s">
        <v>790</v>
      </c>
      <c r="D48" s="6" t="s">
        <v>791</v>
      </c>
      <c r="E48" s="6" t="s">
        <v>792</v>
      </c>
      <c r="F48" s="6" t="s">
        <v>793</v>
      </c>
      <c r="G48" s="6" t="s">
        <v>523</v>
      </c>
      <c r="H48" s="6" t="s">
        <v>523</v>
      </c>
      <c r="I48" s="6" t="s">
        <v>794</v>
      </c>
      <c r="J48" s="6" t="s">
        <v>531</v>
      </c>
      <c r="K48" s="6" t="s">
        <v>554</v>
      </c>
      <c r="L48" s="6" t="s">
        <v>528</v>
      </c>
    </row>
  </sheetData>
  <autoFilter ref="A1:L48" xr:uid="{4CC47824-74C3-45EE-92A7-EE9E9B32D3E0}">
    <sortState xmlns:xlrd2="http://schemas.microsoft.com/office/spreadsheetml/2017/richdata2" ref="A2:L48">
      <sortCondition ref="A1:A21"/>
    </sortState>
  </autoFilter>
  <mergeCells count="6">
    <mergeCell ref="A47:A48"/>
    <mergeCell ref="A2:A13"/>
    <mergeCell ref="A15:A29"/>
    <mergeCell ref="A30:A40"/>
    <mergeCell ref="A41:A42"/>
    <mergeCell ref="A44:A46"/>
  </mergeCells>
  <dataValidations count="1">
    <dataValidation type="list" allowBlank="1" showInputMessage="1" showErrorMessage="1" sqref="L1:L1048576" xr:uid="{BA1D0E8C-A033-4ACD-B8F3-50AD1FB68BE6}">
      <formula1>$Y$1:$Y$2</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B1457-023A-455C-A703-083E045307F9}">
  <dimension ref="A3:O76"/>
  <sheetViews>
    <sheetView topLeftCell="B1" zoomScale="115" zoomScaleNormal="115" workbookViewId="0">
      <selection activeCell="E32" sqref="E32"/>
    </sheetView>
  </sheetViews>
  <sheetFormatPr defaultRowHeight="12" customHeight="1"/>
  <cols>
    <col min="1" max="1" width="38.88671875" bestFit="1" customWidth="1"/>
    <col min="2" max="2" width="20.109375" bestFit="1" customWidth="1"/>
    <col min="3" max="3" width="17.88671875" bestFit="1" customWidth="1"/>
    <col min="4" max="4" width="48.44140625" customWidth="1"/>
    <col min="5" max="5" width="33.109375" style="244" customWidth="1"/>
    <col min="6" max="6" width="21.5546875" style="244" customWidth="1"/>
    <col min="7" max="7" width="45.88671875" customWidth="1"/>
    <col min="8" max="8" width="23.5546875" style="147" customWidth="1"/>
    <col min="9" max="9" width="9.44140625" hidden="1" customWidth="1"/>
    <col min="10" max="10" width="25.109375" hidden="1" customWidth="1"/>
    <col min="11" max="15" width="8.88671875" hidden="1" customWidth="1"/>
  </cols>
  <sheetData>
    <row r="3" spans="1:11" ht="12" customHeight="1">
      <c r="A3" s="212"/>
      <c r="B3" s="213" t="s">
        <v>795</v>
      </c>
      <c r="C3" s="213" t="s">
        <v>796</v>
      </c>
      <c r="D3" s="213" t="s">
        <v>797</v>
      </c>
      <c r="E3" s="304"/>
      <c r="F3" s="219" t="s">
        <v>798</v>
      </c>
      <c r="G3" s="213" t="s">
        <v>2</v>
      </c>
      <c r="H3" s="213" t="s">
        <v>799</v>
      </c>
      <c r="J3" s="40" t="s">
        <v>11</v>
      </c>
      <c r="K3" t="s">
        <v>800</v>
      </c>
    </row>
    <row r="4" spans="1:11" ht="12" customHeight="1">
      <c r="A4" s="215" t="s">
        <v>244</v>
      </c>
      <c r="B4" s="216"/>
      <c r="C4" s="216" t="s">
        <v>554</v>
      </c>
      <c r="D4" s="216" t="s">
        <v>801</v>
      </c>
      <c r="E4" s="221"/>
      <c r="G4" s="217"/>
      <c r="J4" s="40" t="s">
        <v>49</v>
      </c>
      <c r="K4" t="s">
        <v>802</v>
      </c>
    </row>
    <row r="5" spans="1:11" ht="12" customHeight="1">
      <c r="A5" s="215" t="s">
        <v>244</v>
      </c>
      <c r="B5" s="218"/>
      <c r="C5" s="218" t="s">
        <v>554</v>
      </c>
      <c r="D5" s="218" t="s">
        <v>246</v>
      </c>
      <c r="E5" s="305" t="s">
        <v>803</v>
      </c>
      <c r="G5" s="217" t="s">
        <v>63</v>
      </c>
      <c r="H5" s="151" t="s">
        <v>804</v>
      </c>
      <c r="J5" s="40" t="s">
        <v>63</v>
      </c>
      <c r="K5" t="s">
        <v>805</v>
      </c>
    </row>
    <row r="6" spans="1:11" ht="12" customHeight="1">
      <c r="A6" s="215" t="s">
        <v>244</v>
      </c>
      <c r="B6" s="216"/>
      <c r="C6" s="216" t="s">
        <v>554</v>
      </c>
      <c r="D6" s="216" t="s">
        <v>806</v>
      </c>
      <c r="E6" s="221"/>
      <c r="F6" s="244" t="s">
        <v>807</v>
      </c>
      <c r="G6" s="217"/>
      <c r="J6" s="40" t="s">
        <v>99</v>
      </c>
      <c r="K6" t="s">
        <v>808</v>
      </c>
    </row>
    <row r="7" spans="1:11" ht="12" customHeight="1">
      <c r="A7" s="215" t="s">
        <v>244</v>
      </c>
      <c r="B7" s="218"/>
      <c r="C7" s="218" t="s">
        <v>554</v>
      </c>
      <c r="D7" s="218" t="s">
        <v>809</v>
      </c>
      <c r="E7" s="305" t="s">
        <v>810</v>
      </c>
      <c r="F7" s="244" t="s">
        <v>811</v>
      </c>
      <c r="G7" s="217" t="s">
        <v>63</v>
      </c>
      <c r="H7" s="147" t="s">
        <v>812</v>
      </c>
      <c r="J7" s="40" t="s">
        <v>129</v>
      </c>
      <c r="K7" t="s">
        <v>813</v>
      </c>
    </row>
    <row r="8" spans="1:11" ht="12" customHeight="1">
      <c r="A8" s="215" t="s">
        <v>244</v>
      </c>
      <c r="B8" s="216"/>
      <c r="C8" s="216" t="s">
        <v>554</v>
      </c>
      <c r="D8" s="216" t="s">
        <v>247</v>
      </c>
      <c r="E8" s="221"/>
      <c r="G8" s="217"/>
      <c r="J8" s="40" t="s">
        <v>228</v>
      </c>
      <c r="K8" t="s">
        <v>814</v>
      </c>
    </row>
    <row r="9" spans="1:11" ht="12" customHeight="1">
      <c r="A9" s="215" t="s">
        <v>244</v>
      </c>
      <c r="B9" s="218"/>
      <c r="C9" s="218" t="s">
        <v>554</v>
      </c>
      <c r="D9" s="218" t="s">
        <v>248</v>
      </c>
      <c r="E9" s="305"/>
      <c r="G9" s="217"/>
      <c r="J9" s="40" t="s">
        <v>171</v>
      </c>
      <c r="K9" t="s">
        <v>815</v>
      </c>
    </row>
    <row r="10" spans="1:11" ht="12" customHeight="1">
      <c r="A10" s="215" t="s">
        <v>244</v>
      </c>
      <c r="B10" s="216"/>
      <c r="C10" s="216" t="s">
        <v>554</v>
      </c>
      <c r="D10" s="216" t="s">
        <v>249</v>
      </c>
      <c r="E10" s="221"/>
      <c r="G10" s="217"/>
      <c r="J10" s="40" t="s">
        <v>186</v>
      </c>
      <c r="K10" t="s">
        <v>816</v>
      </c>
    </row>
    <row r="11" spans="1:11" ht="12" customHeight="1">
      <c r="A11" s="215" t="s">
        <v>244</v>
      </c>
      <c r="B11" s="218"/>
      <c r="C11" s="218" t="s">
        <v>554</v>
      </c>
      <c r="D11" s="218" t="s">
        <v>250</v>
      </c>
      <c r="E11" s="305"/>
      <c r="G11" s="217"/>
    </row>
    <row r="12" spans="1:11" ht="12" customHeight="1">
      <c r="A12" s="215" t="s">
        <v>244</v>
      </c>
      <c r="B12" s="216" t="s">
        <v>554</v>
      </c>
      <c r="C12" s="216"/>
      <c r="D12" s="216" t="s">
        <v>251</v>
      </c>
      <c r="E12" s="221"/>
      <c r="G12" s="217"/>
    </row>
    <row r="13" spans="1:11" ht="12" customHeight="1">
      <c r="A13" s="215" t="s">
        <v>244</v>
      </c>
      <c r="B13" s="218"/>
      <c r="C13" s="218" t="s">
        <v>554</v>
      </c>
      <c r="D13" s="218" t="s">
        <v>252</v>
      </c>
      <c r="E13" s="305"/>
      <c r="G13" s="217"/>
    </row>
    <row r="14" spans="1:11" ht="12" customHeight="1">
      <c r="A14" s="212"/>
      <c r="B14" s="213" t="s">
        <v>795</v>
      </c>
      <c r="C14" s="213" t="s">
        <v>796</v>
      </c>
      <c r="D14" s="213" t="s">
        <v>797</v>
      </c>
      <c r="E14" s="304"/>
      <c r="F14" s="243"/>
      <c r="G14" s="214"/>
      <c r="H14" s="245"/>
    </row>
    <row r="15" spans="1:11" ht="12" customHeight="1">
      <c r="A15" s="215" t="s">
        <v>253</v>
      </c>
      <c r="B15" s="216"/>
      <c r="C15" s="216"/>
      <c r="D15" s="216" t="s">
        <v>254</v>
      </c>
      <c r="E15" s="221"/>
      <c r="G15" s="217"/>
    </row>
    <row r="16" spans="1:11" ht="12" customHeight="1">
      <c r="A16" s="215" t="s">
        <v>253</v>
      </c>
      <c r="B16" s="218"/>
      <c r="C16" s="218"/>
      <c r="D16" s="218" t="s">
        <v>255</v>
      </c>
      <c r="E16" s="305"/>
      <c r="G16" s="217"/>
    </row>
    <row r="17" spans="1:8" ht="12" customHeight="1">
      <c r="A17" s="215" t="s">
        <v>253</v>
      </c>
      <c r="B17" s="216"/>
      <c r="C17" s="216"/>
      <c r="D17" s="216" t="s">
        <v>256</v>
      </c>
      <c r="E17" s="221"/>
      <c r="G17" s="217"/>
    </row>
    <row r="18" spans="1:8" ht="12" customHeight="1">
      <c r="A18" s="212"/>
      <c r="B18" s="213" t="s">
        <v>795</v>
      </c>
      <c r="C18" s="213" t="s">
        <v>796</v>
      </c>
      <c r="D18" s="213" t="s">
        <v>797</v>
      </c>
      <c r="E18" s="304"/>
      <c r="F18" s="243"/>
      <c r="G18" s="214"/>
      <c r="H18" s="245"/>
    </row>
    <row r="19" spans="1:8" ht="12" customHeight="1">
      <c r="A19" s="215" t="s">
        <v>257</v>
      </c>
      <c r="B19" s="216" t="s">
        <v>554</v>
      </c>
      <c r="C19" s="216"/>
      <c r="D19" s="216" t="s">
        <v>258</v>
      </c>
      <c r="E19" s="244" t="s">
        <v>817</v>
      </c>
      <c r="F19" s="244" t="s">
        <v>818</v>
      </c>
      <c r="G19" s="217" t="s">
        <v>186</v>
      </c>
      <c r="H19" s="216" t="s">
        <v>819</v>
      </c>
    </row>
    <row r="20" spans="1:8" ht="12" customHeight="1">
      <c r="A20" s="215" t="s">
        <v>257</v>
      </c>
      <c r="B20" s="218"/>
      <c r="C20" s="218" t="s">
        <v>554</v>
      </c>
      <c r="D20" s="218" t="s">
        <v>259</v>
      </c>
      <c r="E20" s="305"/>
      <c r="G20" s="217" t="s">
        <v>11</v>
      </c>
    </row>
    <row r="21" spans="1:8" ht="12" customHeight="1">
      <c r="A21" s="215" t="s">
        <v>257</v>
      </c>
      <c r="B21" s="216" t="s">
        <v>554</v>
      </c>
      <c r="C21" s="216"/>
      <c r="D21" s="216" t="s">
        <v>260</v>
      </c>
      <c r="E21" s="221"/>
      <c r="G21" s="217"/>
    </row>
    <row r="22" spans="1:8" ht="12" customHeight="1">
      <c r="A22" s="215" t="s">
        <v>257</v>
      </c>
      <c r="B22" s="218" t="s">
        <v>554</v>
      </c>
      <c r="C22" s="218"/>
      <c r="D22" s="218" t="s">
        <v>261</v>
      </c>
      <c r="E22" s="305"/>
      <c r="G22" s="217"/>
    </row>
    <row r="23" spans="1:8" ht="12" customHeight="1">
      <c r="A23" s="215" t="s">
        <v>257</v>
      </c>
      <c r="B23" s="216" t="s">
        <v>554</v>
      </c>
      <c r="C23" s="216"/>
      <c r="D23" s="216" t="s">
        <v>262</v>
      </c>
      <c r="E23" s="221"/>
      <c r="G23" s="217"/>
    </row>
    <row r="24" spans="1:8" ht="12" customHeight="1">
      <c r="A24" s="215" t="s">
        <v>257</v>
      </c>
      <c r="B24" s="218" t="s">
        <v>554</v>
      </c>
      <c r="C24" s="218"/>
      <c r="D24" s="218" t="s">
        <v>263</v>
      </c>
      <c r="E24" s="305"/>
      <c r="G24" s="217"/>
    </row>
    <row r="25" spans="1:8" ht="12" customHeight="1">
      <c r="A25" s="215" t="s">
        <v>257</v>
      </c>
      <c r="B25" s="216" t="s">
        <v>554</v>
      </c>
      <c r="C25" s="216"/>
      <c r="D25" s="216" t="s">
        <v>264</v>
      </c>
      <c r="E25" s="221"/>
      <c r="G25" s="217"/>
    </row>
    <row r="26" spans="1:8" ht="12" customHeight="1">
      <c r="A26" s="215" t="s">
        <v>257</v>
      </c>
      <c r="B26" s="218" t="s">
        <v>554</v>
      </c>
      <c r="C26" s="218"/>
      <c r="D26" s="218" t="s">
        <v>74</v>
      </c>
      <c r="E26" s="305" t="s">
        <v>820</v>
      </c>
      <c r="G26" s="217" t="s">
        <v>63</v>
      </c>
      <c r="H26" s="147" t="s">
        <v>821</v>
      </c>
    </row>
    <row r="27" spans="1:8" ht="12" customHeight="1">
      <c r="A27" s="215" t="s">
        <v>257</v>
      </c>
      <c r="B27" s="216" t="s">
        <v>554</v>
      </c>
      <c r="C27" s="216"/>
      <c r="D27" s="216" t="s">
        <v>265</v>
      </c>
      <c r="E27" s="221"/>
      <c r="G27" s="217"/>
    </row>
    <row r="28" spans="1:8" ht="12" customHeight="1">
      <c r="A28" s="215" t="s">
        <v>257</v>
      </c>
      <c r="B28" s="218" t="s">
        <v>554</v>
      </c>
      <c r="C28" s="218"/>
      <c r="D28" s="218" t="s">
        <v>266</v>
      </c>
      <c r="E28" s="305"/>
      <c r="G28" s="217"/>
    </row>
    <row r="29" spans="1:8" ht="12" customHeight="1">
      <c r="A29" s="215" t="s">
        <v>257</v>
      </c>
      <c r="B29" s="216" t="s">
        <v>554</v>
      </c>
      <c r="C29" s="216"/>
      <c r="D29" s="216" t="s">
        <v>267</v>
      </c>
      <c r="E29" s="221"/>
      <c r="G29" s="217"/>
    </row>
    <row r="30" spans="1:8" ht="12" customHeight="1">
      <c r="A30" s="215" t="s">
        <v>257</v>
      </c>
      <c r="B30" s="218"/>
      <c r="C30" s="218"/>
      <c r="D30" s="218" t="s">
        <v>268</v>
      </c>
      <c r="E30" s="305"/>
      <c r="G30" s="217"/>
    </row>
    <row r="31" spans="1:8" ht="12" customHeight="1">
      <c r="A31" s="215" t="s">
        <v>257</v>
      </c>
      <c r="B31" s="216" t="s">
        <v>554</v>
      </c>
      <c r="C31" s="216"/>
      <c r="D31" s="216" t="s">
        <v>269</v>
      </c>
      <c r="E31" s="221"/>
      <c r="G31" s="217"/>
    </row>
    <row r="32" spans="1:8" ht="12" customHeight="1">
      <c r="A32" s="215" t="s">
        <v>257</v>
      </c>
      <c r="B32" s="218" t="s">
        <v>554</v>
      </c>
      <c r="C32" s="218"/>
      <c r="D32" s="218" t="s">
        <v>270</v>
      </c>
      <c r="E32" s="305"/>
      <c r="G32" s="217"/>
    </row>
    <row r="33" spans="1:8" ht="12" customHeight="1">
      <c r="A33" s="215" t="s">
        <v>257</v>
      </c>
      <c r="B33" s="216" t="s">
        <v>554</v>
      </c>
      <c r="C33" s="216"/>
      <c r="D33" s="216" t="s">
        <v>271</v>
      </c>
      <c r="E33" s="221"/>
      <c r="G33" s="217"/>
    </row>
    <row r="34" spans="1:8" ht="12" customHeight="1">
      <c r="A34" s="215" t="s">
        <v>257</v>
      </c>
      <c r="B34" s="218" t="s">
        <v>554</v>
      </c>
      <c r="C34" s="218"/>
      <c r="D34" s="218" t="s">
        <v>272</v>
      </c>
      <c r="E34" s="305"/>
      <c r="G34" s="217"/>
    </row>
    <row r="35" spans="1:8" ht="12" customHeight="1">
      <c r="A35" s="215" t="s">
        <v>257</v>
      </c>
      <c r="B35" s="216" t="s">
        <v>554</v>
      </c>
      <c r="C35" s="216"/>
      <c r="D35" s="216" t="s">
        <v>273</v>
      </c>
      <c r="E35" s="221"/>
      <c r="G35" s="217"/>
    </row>
    <row r="36" spans="1:8" ht="12" customHeight="1">
      <c r="A36" s="215" t="s">
        <v>257</v>
      </c>
      <c r="B36" s="218" t="s">
        <v>554</v>
      </c>
      <c r="C36" s="218"/>
      <c r="D36" s="218" t="s">
        <v>274</v>
      </c>
      <c r="E36" s="305"/>
      <c r="G36" s="217"/>
    </row>
    <row r="37" spans="1:8" ht="12" customHeight="1">
      <c r="A37" s="215" t="s">
        <v>257</v>
      </c>
      <c r="B37" s="216" t="s">
        <v>554</v>
      </c>
      <c r="C37" s="216"/>
      <c r="D37" s="216" t="s">
        <v>275</v>
      </c>
      <c r="E37" s="221"/>
      <c r="G37" s="217"/>
    </row>
    <row r="38" spans="1:8" ht="12" customHeight="1">
      <c r="A38" s="215" t="s">
        <v>257</v>
      </c>
      <c r="B38" s="218" t="s">
        <v>554</v>
      </c>
      <c r="C38" s="218"/>
      <c r="D38" s="218" t="s">
        <v>276</v>
      </c>
      <c r="E38" s="305"/>
      <c r="G38" s="217"/>
    </row>
    <row r="39" spans="1:8" ht="12" customHeight="1">
      <c r="A39" s="215" t="s">
        <v>257</v>
      </c>
      <c r="B39" s="216" t="s">
        <v>554</v>
      </c>
      <c r="C39" s="216"/>
      <c r="D39" s="216" t="s">
        <v>277</v>
      </c>
      <c r="E39" s="221"/>
      <c r="G39" s="217"/>
    </row>
    <row r="40" spans="1:8" ht="12" customHeight="1">
      <c r="A40" s="215" t="s">
        <v>257</v>
      </c>
      <c r="B40" s="218" t="s">
        <v>554</v>
      </c>
      <c r="C40" s="218"/>
      <c r="D40" s="218" t="s">
        <v>278</v>
      </c>
      <c r="E40" s="305"/>
      <c r="G40" s="217"/>
    </row>
    <row r="41" spans="1:8" ht="12" customHeight="1">
      <c r="A41" s="212"/>
      <c r="B41" s="213" t="s">
        <v>795</v>
      </c>
      <c r="C41" s="213" t="s">
        <v>796</v>
      </c>
      <c r="D41" s="213" t="s">
        <v>797</v>
      </c>
      <c r="E41" s="304"/>
      <c r="F41" s="243"/>
      <c r="G41" s="214"/>
      <c r="H41" s="245"/>
    </row>
    <row r="42" spans="1:8" ht="12" customHeight="1">
      <c r="A42" s="215" t="s">
        <v>279</v>
      </c>
      <c r="B42" s="216"/>
      <c r="C42" s="216" t="s">
        <v>554</v>
      </c>
      <c r="D42" s="216" t="s">
        <v>280</v>
      </c>
      <c r="E42" s="221"/>
      <c r="G42" s="217"/>
    </row>
    <row r="43" spans="1:8" ht="12" customHeight="1">
      <c r="A43" s="215" t="s">
        <v>279</v>
      </c>
      <c r="B43" s="218"/>
      <c r="C43" s="218" t="s">
        <v>554</v>
      </c>
      <c r="D43" s="218" t="s">
        <v>281</v>
      </c>
      <c r="E43" s="305"/>
      <c r="G43" s="217"/>
    </row>
    <row r="44" spans="1:8" ht="12" customHeight="1">
      <c r="A44" s="215" t="s">
        <v>279</v>
      </c>
      <c r="B44" s="216"/>
      <c r="C44" s="216" t="s">
        <v>554</v>
      </c>
      <c r="D44" s="216" t="s">
        <v>282</v>
      </c>
      <c r="E44" s="221"/>
      <c r="G44" s="217"/>
    </row>
    <row r="45" spans="1:8" ht="12" customHeight="1">
      <c r="A45" s="212"/>
      <c r="B45" s="213" t="s">
        <v>795</v>
      </c>
      <c r="C45" s="213" t="s">
        <v>796</v>
      </c>
      <c r="D45" s="213" t="s">
        <v>797</v>
      </c>
      <c r="E45" s="304"/>
      <c r="F45" s="243"/>
      <c r="G45" s="214"/>
      <c r="H45" s="245"/>
    </row>
    <row r="46" spans="1:8" ht="12" customHeight="1">
      <c r="A46" s="215" t="s">
        <v>283</v>
      </c>
      <c r="B46" s="216"/>
      <c r="C46" s="216" t="s">
        <v>554</v>
      </c>
      <c r="D46" s="216" t="s">
        <v>184</v>
      </c>
      <c r="E46" s="221" t="s">
        <v>822</v>
      </c>
      <c r="G46" s="217"/>
      <c r="H46" s="147" t="s">
        <v>823</v>
      </c>
    </row>
    <row r="47" spans="1:8" ht="12" customHeight="1">
      <c r="A47" s="215" t="s">
        <v>283</v>
      </c>
      <c r="B47" s="218"/>
      <c r="C47" s="218" t="s">
        <v>554</v>
      </c>
      <c r="D47" s="218" t="s">
        <v>284</v>
      </c>
      <c r="E47" s="305"/>
      <c r="G47" s="217"/>
    </row>
    <row r="48" spans="1:8" ht="12" customHeight="1">
      <c r="A48" s="212"/>
      <c r="B48" s="213" t="s">
        <v>795</v>
      </c>
      <c r="C48" s="213" t="s">
        <v>796</v>
      </c>
      <c r="D48" s="213" t="s">
        <v>797</v>
      </c>
      <c r="E48" s="304"/>
      <c r="F48" s="243"/>
      <c r="G48" s="214"/>
      <c r="H48" s="245"/>
    </row>
    <row r="49" spans="1:8" ht="12" customHeight="1">
      <c r="A49" s="215" t="s">
        <v>285</v>
      </c>
      <c r="B49" s="216"/>
      <c r="C49" s="216" t="s">
        <v>554</v>
      </c>
      <c r="D49" s="216" t="s">
        <v>286</v>
      </c>
      <c r="E49" s="221" t="s">
        <v>824</v>
      </c>
      <c r="F49" s="221" t="s">
        <v>825</v>
      </c>
      <c r="G49" s="217" t="s">
        <v>171</v>
      </c>
      <c r="H49" s="147" t="s">
        <v>826</v>
      </c>
    </row>
    <row r="50" spans="1:8" ht="12" customHeight="1">
      <c r="A50" s="215" t="s">
        <v>285</v>
      </c>
      <c r="B50" s="218"/>
      <c r="C50" s="218" t="s">
        <v>554</v>
      </c>
      <c r="D50" s="218" t="s">
        <v>287</v>
      </c>
      <c r="E50" s="305" t="s">
        <v>827</v>
      </c>
      <c r="F50" s="221" t="s">
        <v>825</v>
      </c>
      <c r="G50" s="217" t="s">
        <v>11</v>
      </c>
      <c r="H50" s="246" t="s">
        <v>828</v>
      </c>
    </row>
    <row r="51" spans="1:8" ht="12" customHeight="1">
      <c r="A51" s="215" t="s">
        <v>285</v>
      </c>
      <c r="B51" s="216"/>
      <c r="C51" s="216" t="s">
        <v>554</v>
      </c>
      <c r="D51" s="216" t="s">
        <v>288</v>
      </c>
      <c r="E51" s="221" t="s">
        <v>829</v>
      </c>
      <c r="F51" s="221" t="s">
        <v>825</v>
      </c>
      <c r="G51" s="217"/>
      <c r="H51" s="147" t="s">
        <v>830</v>
      </c>
    </row>
    <row r="52" spans="1:8" ht="12" customHeight="1">
      <c r="A52" s="212"/>
      <c r="B52" s="213" t="s">
        <v>795</v>
      </c>
      <c r="C52" s="213" t="s">
        <v>796</v>
      </c>
      <c r="D52" s="213" t="s">
        <v>797</v>
      </c>
      <c r="E52" s="304"/>
      <c r="F52" s="243"/>
      <c r="G52" s="214"/>
      <c r="H52" s="245"/>
    </row>
    <row r="53" spans="1:8" ht="12" customHeight="1">
      <c r="A53" s="215" t="s">
        <v>289</v>
      </c>
      <c r="B53" s="216"/>
      <c r="C53" s="216"/>
      <c r="D53" s="216" t="s">
        <v>290</v>
      </c>
      <c r="E53" s="221" t="s">
        <v>831</v>
      </c>
      <c r="G53" s="217" t="s">
        <v>11</v>
      </c>
      <c r="H53" s="147" t="s">
        <v>832</v>
      </c>
    </row>
    <row r="54" spans="1:8" ht="12" customHeight="1">
      <c r="A54" s="212"/>
      <c r="B54" s="213" t="s">
        <v>795</v>
      </c>
      <c r="C54" s="213" t="s">
        <v>796</v>
      </c>
      <c r="D54" s="213" t="s">
        <v>797</v>
      </c>
      <c r="E54" s="304"/>
      <c r="F54" s="243"/>
      <c r="G54" s="214"/>
      <c r="H54" s="245"/>
    </row>
    <row r="55" spans="1:8" ht="12" customHeight="1">
      <c r="A55" s="215" t="s">
        <v>291</v>
      </c>
      <c r="B55" s="216"/>
      <c r="C55" s="216" t="s">
        <v>554</v>
      </c>
      <c r="D55" s="216" t="s">
        <v>292</v>
      </c>
      <c r="E55" s="221"/>
      <c r="G55" s="217"/>
    </row>
    <row r="56" spans="1:8" ht="12" customHeight="1">
      <c r="A56" s="215" t="s">
        <v>291</v>
      </c>
      <c r="B56" s="218" t="s">
        <v>554</v>
      </c>
      <c r="C56" s="218"/>
      <c r="D56" s="218" t="s">
        <v>293</v>
      </c>
      <c r="E56" s="305"/>
      <c r="G56" s="217" t="s">
        <v>228</v>
      </c>
    </row>
    <row r="57" spans="1:8" ht="12" customHeight="1">
      <c r="A57" s="215" t="s">
        <v>291</v>
      </c>
      <c r="B57" s="216" t="s">
        <v>554</v>
      </c>
      <c r="C57" s="216"/>
      <c r="D57" s="216" t="s">
        <v>294</v>
      </c>
      <c r="E57" s="221"/>
      <c r="G57" s="217"/>
    </row>
    <row r="58" spans="1:8" ht="12" customHeight="1">
      <c r="A58" s="215" t="s">
        <v>291</v>
      </c>
      <c r="B58" s="218" t="s">
        <v>554</v>
      </c>
      <c r="C58" s="218"/>
      <c r="D58" s="218" t="s">
        <v>295</v>
      </c>
      <c r="E58" s="305"/>
      <c r="G58" s="217"/>
    </row>
    <row r="59" spans="1:8" ht="12" customHeight="1">
      <c r="A59" s="215" t="s">
        <v>291</v>
      </c>
      <c r="B59" s="216"/>
      <c r="C59" s="216" t="s">
        <v>554</v>
      </c>
      <c r="D59" s="216" t="s">
        <v>296</v>
      </c>
      <c r="E59" s="221"/>
      <c r="G59" s="217"/>
    </row>
    <row r="60" spans="1:8" ht="12" customHeight="1">
      <c r="A60" s="215" t="s">
        <v>291</v>
      </c>
      <c r="B60" s="218" t="s">
        <v>554</v>
      </c>
      <c r="C60" s="218"/>
      <c r="D60" s="218" t="s">
        <v>297</v>
      </c>
      <c r="E60" s="305"/>
      <c r="G60" s="217"/>
      <c r="H60" s="147" t="s">
        <v>833</v>
      </c>
    </row>
    <row r="61" spans="1:8" ht="12" customHeight="1">
      <c r="A61" s="215" t="s">
        <v>291</v>
      </c>
      <c r="B61" s="216" t="s">
        <v>554</v>
      </c>
      <c r="C61" s="216"/>
      <c r="D61" s="216" t="s">
        <v>109</v>
      </c>
      <c r="E61" s="221"/>
      <c r="G61" s="217" t="s">
        <v>99</v>
      </c>
    </row>
    <row r="62" spans="1:8" ht="12" customHeight="1">
      <c r="A62" s="215" t="s">
        <v>291</v>
      </c>
      <c r="B62" s="218" t="s">
        <v>554</v>
      </c>
      <c r="C62" s="218"/>
      <c r="D62" s="218" t="s">
        <v>834</v>
      </c>
      <c r="E62" s="305" t="s">
        <v>835</v>
      </c>
      <c r="G62" s="217" t="s">
        <v>99</v>
      </c>
      <c r="H62" s="147" t="s">
        <v>836</v>
      </c>
    </row>
    <row r="63" spans="1:8" ht="12" customHeight="1">
      <c r="A63" s="212"/>
      <c r="B63" s="213" t="s">
        <v>795</v>
      </c>
      <c r="C63" s="213" t="s">
        <v>796</v>
      </c>
      <c r="D63" s="213" t="s">
        <v>797</v>
      </c>
      <c r="E63" s="304"/>
      <c r="F63" s="243"/>
      <c r="G63" s="214"/>
      <c r="H63" s="245"/>
    </row>
    <row r="64" spans="1:8" ht="12" customHeight="1">
      <c r="A64" s="215" t="s">
        <v>298</v>
      </c>
      <c r="B64" s="216" t="s">
        <v>554</v>
      </c>
      <c r="C64" s="216"/>
      <c r="D64" s="216" t="s">
        <v>299</v>
      </c>
      <c r="E64" s="221"/>
      <c r="G64" s="217" t="s">
        <v>63</v>
      </c>
    </row>
    <row r="65" spans="1:11" ht="12" customHeight="1">
      <c r="A65" s="212"/>
      <c r="B65" s="213" t="s">
        <v>795</v>
      </c>
      <c r="C65" s="213" t="s">
        <v>796</v>
      </c>
      <c r="D65" s="213" t="s">
        <v>797</v>
      </c>
      <c r="E65" s="304"/>
      <c r="F65" s="243"/>
      <c r="G65" s="214"/>
      <c r="H65" s="245"/>
    </row>
    <row r="66" spans="1:11" ht="12" customHeight="1">
      <c r="A66" s="215" t="s">
        <v>300</v>
      </c>
      <c r="B66" s="216" t="s">
        <v>554</v>
      </c>
      <c r="C66" s="216"/>
      <c r="D66" s="216" t="s">
        <v>301</v>
      </c>
      <c r="E66" s="221"/>
      <c r="G66" s="217"/>
    </row>
    <row r="69" spans="1:11" ht="12" customHeight="1">
      <c r="J69" s="40" t="s">
        <v>11</v>
      </c>
      <c r="K69" t="s">
        <v>800</v>
      </c>
    </row>
    <row r="70" spans="1:11" ht="12" customHeight="1">
      <c r="J70" s="40" t="s">
        <v>49</v>
      </c>
      <c r="K70" t="s">
        <v>802</v>
      </c>
    </row>
    <row r="71" spans="1:11" ht="12" customHeight="1">
      <c r="J71" s="40" t="s">
        <v>63</v>
      </c>
      <c r="K71" t="s">
        <v>805</v>
      </c>
    </row>
    <row r="72" spans="1:11" ht="12" customHeight="1">
      <c r="J72" s="40" t="s">
        <v>99</v>
      </c>
      <c r="K72" t="s">
        <v>808</v>
      </c>
    </row>
    <row r="73" spans="1:11" ht="12" customHeight="1">
      <c r="J73" s="40" t="s">
        <v>129</v>
      </c>
      <c r="K73" t="s">
        <v>813</v>
      </c>
    </row>
    <row r="74" spans="1:11" ht="12" customHeight="1">
      <c r="J74" s="40" t="s">
        <v>228</v>
      </c>
      <c r="K74" t="s">
        <v>814</v>
      </c>
    </row>
    <row r="75" spans="1:11" ht="12" customHeight="1">
      <c r="J75" s="40" t="s">
        <v>171</v>
      </c>
      <c r="K75" t="s">
        <v>815</v>
      </c>
    </row>
    <row r="76" spans="1:11" ht="12" customHeight="1">
      <c r="J76" s="40" t="s">
        <v>186</v>
      </c>
      <c r="K76" t="s">
        <v>816</v>
      </c>
    </row>
  </sheetData>
  <dataValidations count="1">
    <dataValidation type="list" allowBlank="1" showInputMessage="1" showErrorMessage="1" sqref="G19:G40 G66 G64 G55:G62 G42:G44 G46:G47 G49:G51 G53 G4:G13 G15:G17" xr:uid="{90ECE580-B1E3-48AD-AF75-47CCF9495BB7}">
      <formula1>$J$3:$J$10</formula1>
    </dataValidation>
  </dataValidations>
  <hyperlinks>
    <hyperlink ref="H5" r:id="rId1" xr:uid="{5F8A2930-768B-444A-AC7A-1677494AAC99}"/>
  </hyperlink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6CE4F-EA52-4BAF-8225-21F5BA2D8FAC}">
  <dimension ref="B2:C18"/>
  <sheetViews>
    <sheetView workbookViewId="0">
      <selection activeCell="B2" sqref="B2:C18"/>
    </sheetView>
  </sheetViews>
  <sheetFormatPr defaultRowHeight="14.4"/>
  <cols>
    <col min="2" max="2" width="17.44140625" bestFit="1" customWidth="1"/>
    <col min="3" max="3" width="35.44140625" bestFit="1" customWidth="1"/>
  </cols>
  <sheetData>
    <row r="2" spans="2:3">
      <c r="B2" t="s">
        <v>837</v>
      </c>
      <c r="C2" s="151" t="s">
        <v>838</v>
      </c>
    </row>
    <row r="3" spans="2:3">
      <c r="C3" s="152" t="s">
        <v>839</v>
      </c>
    </row>
    <row r="5" spans="2:3">
      <c r="B5" t="s">
        <v>840</v>
      </c>
      <c r="C5" s="152" t="s">
        <v>841</v>
      </c>
    </row>
    <row r="7" spans="2:3">
      <c r="B7" s="361" t="s">
        <v>842</v>
      </c>
      <c r="C7" s="152" t="s">
        <v>843</v>
      </c>
    </row>
    <row r="8" spans="2:3">
      <c r="B8" s="361"/>
      <c r="C8" s="152" t="s">
        <v>844</v>
      </c>
    </row>
    <row r="11" spans="2:3">
      <c r="B11" t="s">
        <v>845</v>
      </c>
      <c r="C11" s="152" t="s">
        <v>843</v>
      </c>
    </row>
    <row r="13" spans="2:3">
      <c r="B13" t="s">
        <v>846</v>
      </c>
      <c r="C13" s="152" t="s">
        <v>843</v>
      </c>
    </row>
    <row r="15" spans="2:3">
      <c r="B15" s="361" t="s">
        <v>847</v>
      </c>
      <c r="C15" s="152" t="s">
        <v>843</v>
      </c>
    </row>
    <row r="16" spans="2:3">
      <c r="B16" s="361"/>
      <c r="C16" s="152" t="s">
        <v>198</v>
      </c>
    </row>
    <row r="18" spans="2:3">
      <c r="B18" t="s">
        <v>848</v>
      </c>
      <c r="C18" s="152" t="s">
        <v>843</v>
      </c>
    </row>
  </sheetData>
  <mergeCells count="2">
    <mergeCell ref="B7:B8"/>
    <mergeCell ref="B15:B16"/>
  </mergeCells>
  <hyperlinks>
    <hyperlink ref="C2" r:id="rId1" xr:uid="{F1AFC1D0-4BAF-479B-B69F-0C6CC08E1B8D}"/>
    <hyperlink ref="C3" r:id="rId2" xr:uid="{E6CEB55A-F5C6-4322-AF68-FD7AB748CD61}"/>
    <hyperlink ref="C5" r:id="rId3" xr:uid="{CBDECAB8-069D-4A71-B62B-5B7DBDE86C74}"/>
    <hyperlink ref="C7" r:id="rId4" xr:uid="{AE9E1382-F576-4D1D-8761-A0205C05F734}"/>
    <hyperlink ref="C8" r:id="rId5" xr:uid="{79E0EAA2-48A2-44A1-83FB-47535C7E1871}"/>
    <hyperlink ref="C11" r:id="rId6" xr:uid="{54B4C492-49F5-4982-B052-31BCFE36F2DE}"/>
    <hyperlink ref="C13" r:id="rId7" xr:uid="{2968D719-E8C6-40F9-A39A-6008E4BB279E}"/>
    <hyperlink ref="C15" r:id="rId8" xr:uid="{87F71A9A-DA48-4B2C-92B1-B949C4F876D2}"/>
    <hyperlink ref="C18" r:id="rId9" xr:uid="{7A0D15C9-56B4-4A9B-894D-7EC2FE686931}"/>
    <hyperlink ref="C16" r:id="rId10" xr:uid="{8B589C59-9D07-4357-8D51-98EF3DE9ADFC}"/>
  </hyperlinks>
  <pageMargins left="0.7" right="0.7" top="0.75" bottom="0.75" header="0.3" footer="0.3"/>
  <pageSetup paperSize="9" orientation="portrait" horizontalDpi="0" verticalDpi="0" r:id="rId1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0D7AE-E81F-42C0-9868-D949058D33D1}">
  <sheetPr>
    <outlinePr summaryRight="0"/>
  </sheetPr>
  <dimension ref="A4:BP4"/>
  <sheetViews>
    <sheetView zoomScale="70" zoomScaleNormal="70" workbookViewId="0">
      <selection activeCell="Y2" sqref="Y2:AF4"/>
    </sheetView>
  </sheetViews>
  <sheetFormatPr defaultColWidth="8.88671875" defaultRowHeight="14.4" outlineLevelCol="1"/>
  <cols>
    <col min="1" max="1" width="8.88671875" style="147" customWidth="1"/>
    <col min="2" max="11" width="8.88671875" style="147" customWidth="1" outlineLevel="1"/>
    <col min="12" max="12" width="8.88671875" style="147" customWidth="1"/>
    <col min="13" max="15" width="8.88671875" style="147" customWidth="1" outlineLevel="1"/>
    <col min="16" max="16" width="8.88671875" style="147"/>
    <col min="17" max="38" width="8.88671875" style="147" outlineLevel="1"/>
    <col min="39" max="39" width="8.88671875" style="147"/>
    <col min="40" max="42" width="8.88671875" style="147" outlineLevel="1"/>
    <col min="43" max="43" width="8.88671875" style="147"/>
    <col min="44" max="45" width="8.88671875" style="147" outlineLevel="1"/>
    <col min="46" max="46" width="8.88671875" style="147"/>
    <col min="47" max="49" width="8.88671875" style="147" outlineLevel="1"/>
    <col min="50" max="50" width="8.88671875" style="147"/>
    <col min="51" max="51" width="8.88671875" style="147" outlineLevel="1"/>
    <col min="52" max="52" width="8.88671875" style="147"/>
    <col min="53" max="60" width="8.88671875" style="147" outlineLevel="1"/>
    <col min="61" max="61" width="8.88671875" style="147"/>
    <col min="62" max="62" width="8.88671875" style="147" outlineLevel="1"/>
    <col min="63" max="63" width="8.88671875" style="147"/>
    <col min="64" max="64" width="8.88671875" style="147" outlineLevel="1"/>
    <col min="65" max="16384" width="8.88671875" style="147"/>
  </cols>
  <sheetData>
    <row r="4" spans="1:68" ht="129.6">
      <c r="A4" s="149" t="s">
        <v>244</v>
      </c>
      <c r="B4" s="150" t="s">
        <v>801</v>
      </c>
      <c r="C4" s="68" t="s">
        <v>246</v>
      </c>
      <c r="D4" s="150" t="s">
        <v>806</v>
      </c>
      <c r="E4" s="68" t="s">
        <v>809</v>
      </c>
      <c r="F4" s="150" t="s">
        <v>247</v>
      </c>
      <c r="G4" s="68" t="s">
        <v>248</v>
      </c>
      <c r="H4" s="150" t="s">
        <v>249</v>
      </c>
      <c r="I4" s="68" t="s">
        <v>250</v>
      </c>
      <c r="J4" s="150" t="s">
        <v>251</v>
      </c>
      <c r="K4" s="68" t="s">
        <v>252</v>
      </c>
      <c r="L4" s="149" t="s">
        <v>253</v>
      </c>
      <c r="M4" s="150" t="s">
        <v>254</v>
      </c>
      <c r="N4" s="68" t="s">
        <v>255</v>
      </c>
      <c r="O4" s="150" t="s">
        <v>256</v>
      </c>
      <c r="P4" s="149" t="s">
        <v>257</v>
      </c>
      <c r="Q4" s="150" t="s">
        <v>258</v>
      </c>
      <c r="R4" s="68" t="s">
        <v>259</v>
      </c>
      <c r="S4" s="150" t="s">
        <v>260</v>
      </c>
      <c r="T4" s="68" t="s">
        <v>261</v>
      </c>
      <c r="U4" s="150" t="s">
        <v>262</v>
      </c>
      <c r="V4" s="68" t="s">
        <v>263</v>
      </c>
      <c r="W4" s="150" t="s">
        <v>264</v>
      </c>
      <c r="X4" s="68" t="s">
        <v>74</v>
      </c>
      <c r="Y4" s="150" t="s">
        <v>265</v>
      </c>
      <c r="Z4" s="68" t="s">
        <v>266</v>
      </c>
      <c r="AA4" s="150" t="s">
        <v>267</v>
      </c>
      <c r="AB4" s="68" t="s">
        <v>268</v>
      </c>
      <c r="AC4" s="150" t="s">
        <v>269</v>
      </c>
      <c r="AD4" s="68" t="s">
        <v>270</v>
      </c>
      <c r="AE4" s="150" t="s">
        <v>271</v>
      </c>
      <c r="AF4" s="68" t="s">
        <v>272</v>
      </c>
      <c r="AG4" s="150" t="s">
        <v>273</v>
      </c>
      <c r="AH4" s="68" t="s">
        <v>274</v>
      </c>
      <c r="AI4" s="150" t="s">
        <v>275</v>
      </c>
      <c r="AJ4" s="68" t="s">
        <v>276</v>
      </c>
      <c r="AK4" s="150" t="s">
        <v>277</v>
      </c>
      <c r="AL4" s="68" t="s">
        <v>278</v>
      </c>
      <c r="AM4" s="149" t="s">
        <v>279</v>
      </c>
      <c r="AN4" s="150" t="s">
        <v>280</v>
      </c>
      <c r="AO4" s="68" t="s">
        <v>281</v>
      </c>
      <c r="AP4" s="150" t="s">
        <v>282</v>
      </c>
      <c r="AQ4" s="149" t="s">
        <v>283</v>
      </c>
      <c r="AR4" s="150" t="s">
        <v>184</v>
      </c>
      <c r="AS4" s="68" t="s">
        <v>284</v>
      </c>
      <c r="AT4" s="149" t="s">
        <v>285</v>
      </c>
      <c r="AU4" s="150" t="s">
        <v>286</v>
      </c>
      <c r="AV4" s="68" t="s">
        <v>287</v>
      </c>
      <c r="AW4" s="150" t="s">
        <v>288</v>
      </c>
      <c r="AX4" s="149" t="s">
        <v>289</v>
      </c>
      <c r="AY4" s="150" t="s">
        <v>290</v>
      </c>
      <c r="AZ4" s="149" t="s">
        <v>291</v>
      </c>
      <c r="BA4" s="150" t="s">
        <v>292</v>
      </c>
      <c r="BB4" s="68" t="s">
        <v>293</v>
      </c>
      <c r="BC4" s="150" t="s">
        <v>294</v>
      </c>
      <c r="BD4" s="68" t="s">
        <v>295</v>
      </c>
      <c r="BE4" s="150" t="s">
        <v>296</v>
      </c>
      <c r="BF4" s="68" t="s">
        <v>297</v>
      </c>
      <c r="BG4" s="150" t="s">
        <v>109</v>
      </c>
      <c r="BH4" s="68" t="s">
        <v>834</v>
      </c>
      <c r="BI4" s="149" t="s">
        <v>298</v>
      </c>
      <c r="BJ4" s="150" t="s">
        <v>299</v>
      </c>
      <c r="BK4" s="149" t="s">
        <v>300</v>
      </c>
      <c r="BL4" s="150" t="s">
        <v>301</v>
      </c>
      <c r="BM4" s="149" t="s">
        <v>442</v>
      </c>
      <c r="BN4" s="69" t="s">
        <v>849</v>
      </c>
      <c r="BO4" s="68" t="s">
        <v>302</v>
      </c>
      <c r="BP4" s="69" t="s">
        <v>246</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665DB-5878-4FED-9713-81B37F62ECCC}">
  <sheetPr>
    <outlinePr summaryRight="0"/>
  </sheetPr>
  <dimension ref="A1:BA18"/>
  <sheetViews>
    <sheetView topLeftCell="A2" zoomScale="70" zoomScaleNormal="70" workbookViewId="0">
      <pane ySplit="1764" topLeftCell="A7" activePane="bottomLeft"/>
      <selection activeCell="AA2" sqref="AA2:AA4"/>
      <selection pane="bottomLeft" activeCell="Y2" sqref="Y2:AF4"/>
    </sheetView>
  </sheetViews>
  <sheetFormatPr defaultColWidth="8.88671875" defaultRowHeight="14.4"/>
  <cols>
    <col min="1" max="1" width="15.88671875" style="92" bestFit="1" customWidth="1"/>
    <col min="2" max="2" width="10.5546875" style="1" bestFit="1" customWidth="1"/>
    <col min="3" max="3" width="28.109375" style="1" bestFit="1" customWidth="1"/>
    <col min="4" max="4" width="15" style="1" bestFit="1" customWidth="1"/>
    <col min="5" max="5" width="16.109375" style="1" bestFit="1" customWidth="1"/>
    <col min="6" max="6" width="8.44140625" style="1" bestFit="1" customWidth="1"/>
    <col min="7" max="7" width="14.109375" style="1" bestFit="1" customWidth="1"/>
    <col min="8" max="8" width="14" style="1" bestFit="1" customWidth="1"/>
    <col min="9" max="9" width="11.109375" style="1" bestFit="1" customWidth="1"/>
    <col min="10" max="10" width="12.5546875" style="1" bestFit="1" customWidth="1"/>
    <col min="11" max="11" width="15.44140625" style="1" bestFit="1" customWidth="1"/>
    <col min="12" max="12" width="10.5546875" style="1" bestFit="1" customWidth="1"/>
    <col min="13" max="16" width="10.5546875" style="1" customWidth="1"/>
    <col min="17" max="17" width="11.88671875" style="1" bestFit="1" customWidth="1"/>
    <col min="18" max="18" width="9.44140625" style="1" bestFit="1" customWidth="1"/>
    <col min="19" max="20" width="9.44140625" style="1" customWidth="1"/>
    <col min="21" max="21" width="10.109375" style="1" bestFit="1" customWidth="1"/>
    <col min="22" max="22" width="10.109375" style="1" customWidth="1"/>
    <col min="23" max="23" width="6.44140625" style="1" bestFit="1" customWidth="1"/>
    <col min="24" max="24" width="40.109375" style="1" bestFit="1" customWidth="1"/>
    <col min="25" max="25" width="19" style="1" bestFit="1" customWidth="1"/>
    <col min="26" max="26" width="29.88671875" style="1" bestFit="1" customWidth="1"/>
    <col min="27" max="27" width="12.109375" style="1" bestFit="1" customWidth="1"/>
    <col min="28" max="28" width="24.109375" style="1" bestFit="1" customWidth="1"/>
    <col min="29" max="29" width="27.109375" style="1" bestFit="1" customWidth="1"/>
    <col min="30" max="30" width="20.88671875" style="1" bestFit="1" customWidth="1"/>
    <col min="31" max="31" width="27" style="1" bestFit="1" customWidth="1"/>
    <col min="32" max="32" width="15.44140625" style="1" bestFit="1" customWidth="1"/>
    <col min="33" max="33" width="13.88671875" style="1" bestFit="1" customWidth="1"/>
    <col min="34" max="34" width="11.44140625" style="1" bestFit="1" customWidth="1"/>
    <col min="35" max="35" width="24.44140625" style="1" bestFit="1" customWidth="1"/>
    <col min="36" max="36" width="22.109375" style="1" bestFit="1" customWidth="1"/>
    <col min="37" max="37" width="6.44140625" style="1" bestFit="1" customWidth="1"/>
    <col min="38" max="38" width="7.88671875" style="1" bestFit="1" customWidth="1"/>
    <col min="39" max="39" width="8.109375" style="1" bestFit="1" customWidth="1"/>
    <col min="40" max="40" width="7.88671875" style="1" bestFit="1" customWidth="1"/>
    <col min="41" max="41" width="5.88671875" style="1" bestFit="1" customWidth="1"/>
    <col min="42" max="42" width="19.109375" style="1" bestFit="1" customWidth="1"/>
    <col min="43" max="43" width="11.44140625" style="1" bestFit="1" customWidth="1"/>
    <col min="44" max="44" width="8.109375" style="1" bestFit="1" customWidth="1"/>
    <col min="45" max="45" width="13.88671875" style="1" bestFit="1" customWidth="1"/>
    <col min="46" max="46" width="11.44140625" style="1" bestFit="1" customWidth="1"/>
    <col min="47" max="47" width="12.5546875" style="1" bestFit="1" customWidth="1"/>
    <col min="48" max="49" width="13.5546875" style="1" bestFit="1" customWidth="1"/>
    <col min="50" max="50" width="30.88671875" style="1" bestFit="1" customWidth="1"/>
    <col min="51" max="51" width="34.109375" style="1" bestFit="1" customWidth="1"/>
    <col min="52" max="52" width="8.88671875" style="1"/>
    <col min="53" max="53" width="31.5546875" style="1" bestFit="1" customWidth="1"/>
    <col min="54" max="54" width="8.88671875" style="1"/>
    <col min="55" max="55" width="36" style="1" bestFit="1" customWidth="1"/>
    <col min="56" max="56" width="9" style="1" bestFit="1" customWidth="1"/>
    <col min="57" max="57" width="17.88671875" style="1" bestFit="1" customWidth="1"/>
    <col min="58" max="58" width="22.88671875" style="1" bestFit="1" customWidth="1"/>
    <col min="59" max="16384" width="8.88671875" style="1"/>
  </cols>
  <sheetData>
    <row r="1" spans="1:53" ht="31.8" thickBot="1">
      <c r="A1" s="327"/>
      <c r="B1" s="329" t="s">
        <v>325</v>
      </c>
      <c r="C1" s="330"/>
      <c r="D1" s="330"/>
      <c r="E1" s="331"/>
      <c r="F1" s="329" t="s">
        <v>209</v>
      </c>
      <c r="G1" s="330"/>
      <c r="H1" s="330"/>
      <c r="I1" s="330"/>
      <c r="J1" s="330"/>
      <c r="K1" s="330"/>
      <c r="L1" s="330"/>
      <c r="M1" s="330"/>
      <c r="N1" s="330"/>
      <c r="O1" s="330"/>
      <c r="P1" s="330"/>
      <c r="Q1" s="330"/>
      <c r="R1" s="330"/>
      <c r="S1" s="330"/>
      <c r="T1" s="330"/>
      <c r="U1" s="330"/>
      <c r="V1" s="331"/>
      <c r="W1" s="331"/>
      <c r="X1" s="332" t="s">
        <v>242</v>
      </c>
      <c r="Y1" s="334"/>
      <c r="Z1" s="334"/>
      <c r="AA1" s="334"/>
      <c r="AB1" s="334"/>
      <c r="AC1" s="334"/>
      <c r="AD1" s="334"/>
      <c r="AE1" s="334"/>
      <c r="AF1" s="334"/>
      <c r="AG1" s="334"/>
      <c r="AH1" s="334"/>
      <c r="AI1" s="334"/>
      <c r="AJ1" s="334"/>
      <c r="AK1" s="334"/>
      <c r="AL1" s="334"/>
      <c r="AM1" s="334"/>
      <c r="AN1" s="334"/>
      <c r="AO1" s="334"/>
      <c r="AP1" s="330"/>
      <c r="AQ1" s="330"/>
      <c r="AR1" s="330"/>
      <c r="AS1" s="330"/>
      <c r="AT1" s="330"/>
      <c r="AU1" s="330"/>
      <c r="AV1" s="330"/>
      <c r="AW1" s="331"/>
      <c r="AX1" s="336" t="s">
        <v>446</v>
      </c>
    </row>
    <row r="2" spans="1:53">
      <c r="A2" s="327"/>
      <c r="B2" s="364" t="s">
        <v>436</v>
      </c>
      <c r="C2" s="366" t="s">
        <v>437</v>
      </c>
      <c r="D2" s="366" t="s">
        <v>328</v>
      </c>
      <c r="E2" s="343" t="s">
        <v>438</v>
      </c>
      <c r="F2" s="368" t="s">
        <v>210</v>
      </c>
      <c r="G2" s="362"/>
      <c r="H2" s="362"/>
      <c r="I2" s="362"/>
      <c r="J2" s="362"/>
      <c r="K2" s="362" t="s">
        <v>227</v>
      </c>
      <c r="L2" s="362"/>
      <c r="M2" s="362"/>
      <c r="N2" s="362"/>
      <c r="O2" s="362"/>
      <c r="P2" s="362"/>
      <c r="Q2" s="362"/>
      <c r="R2" s="362"/>
      <c r="S2" s="362"/>
      <c r="T2" s="362"/>
      <c r="U2" s="362" t="s">
        <v>154</v>
      </c>
      <c r="V2" s="363"/>
      <c r="W2" s="363"/>
      <c r="X2" s="322" t="s">
        <v>447</v>
      </c>
      <c r="Y2" s="347" t="s">
        <v>245</v>
      </c>
      <c r="Z2" s="325"/>
      <c r="AA2" s="325"/>
      <c r="AB2" s="325"/>
      <c r="AC2" s="325"/>
      <c r="AD2" s="325"/>
      <c r="AE2" s="325"/>
      <c r="AF2" s="348"/>
      <c r="AG2" s="347" t="s">
        <v>448</v>
      </c>
      <c r="AH2" s="325"/>
      <c r="AI2" s="325"/>
      <c r="AJ2" s="325"/>
      <c r="AK2" s="325"/>
      <c r="AL2" s="325"/>
      <c r="AM2" s="325"/>
      <c r="AN2" s="325"/>
      <c r="AO2" s="348"/>
      <c r="AP2" s="351" t="s">
        <v>449</v>
      </c>
      <c r="AQ2" s="352"/>
      <c r="AR2" s="352"/>
      <c r="AS2" s="352"/>
      <c r="AT2" s="352"/>
      <c r="AU2" s="352"/>
      <c r="AV2" s="352"/>
      <c r="AW2" s="353"/>
      <c r="AX2" s="337"/>
    </row>
    <row r="3" spans="1:53">
      <c r="A3" s="327"/>
      <c r="B3" s="364"/>
      <c r="C3" s="366"/>
      <c r="D3" s="366"/>
      <c r="E3" s="343"/>
      <c r="F3" s="368"/>
      <c r="G3" s="362"/>
      <c r="H3" s="362"/>
      <c r="I3" s="362"/>
      <c r="J3" s="362"/>
      <c r="K3" s="362"/>
      <c r="L3" s="362"/>
      <c r="M3" s="362"/>
      <c r="N3" s="362"/>
      <c r="O3" s="362"/>
      <c r="P3" s="362"/>
      <c r="Q3" s="362"/>
      <c r="R3" s="362"/>
      <c r="S3" s="362"/>
      <c r="T3" s="362"/>
      <c r="U3" s="362"/>
      <c r="V3" s="363"/>
      <c r="W3" s="363"/>
      <c r="X3" s="323"/>
      <c r="Y3" s="349"/>
      <c r="Z3" s="326"/>
      <c r="AA3" s="326"/>
      <c r="AB3" s="326"/>
      <c r="AC3" s="326"/>
      <c r="AD3" s="326"/>
      <c r="AE3" s="326"/>
      <c r="AF3" s="350"/>
      <c r="AG3" s="349"/>
      <c r="AH3" s="326"/>
      <c r="AI3" s="326"/>
      <c r="AJ3" s="326"/>
      <c r="AK3" s="326"/>
      <c r="AL3" s="326"/>
      <c r="AM3" s="326"/>
      <c r="AN3" s="326"/>
      <c r="AO3" s="350"/>
      <c r="AP3" s="153" t="s">
        <v>314</v>
      </c>
      <c r="AQ3" s="362" t="s">
        <v>316</v>
      </c>
      <c r="AR3" s="362"/>
      <c r="AS3" s="362"/>
      <c r="AT3" s="362" t="s">
        <v>320</v>
      </c>
      <c r="AU3" s="362"/>
      <c r="AV3" s="362"/>
      <c r="AW3" s="369" t="s">
        <v>324</v>
      </c>
      <c r="AX3" s="337"/>
    </row>
    <row r="4" spans="1:53" ht="87.6" customHeight="1" thickBot="1">
      <c r="A4" s="328"/>
      <c r="B4" s="365"/>
      <c r="C4" s="367"/>
      <c r="D4" s="367"/>
      <c r="E4" s="344"/>
      <c r="F4" s="59" t="s">
        <v>211</v>
      </c>
      <c r="G4" s="61" t="s">
        <v>439</v>
      </c>
      <c r="H4" s="61" t="s">
        <v>440</v>
      </c>
      <c r="I4" s="61" t="s">
        <v>221</v>
      </c>
      <c r="J4" s="61" t="s">
        <v>226</v>
      </c>
      <c r="K4" s="61" t="s">
        <v>229</v>
      </c>
      <c r="L4" s="61" t="s">
        <v>230</v>
      </c>
      <c r="M4" s="61" t="s">
        <v>231</v>
      </c>
      <c r="N4" s="63" t="s">
        <v>232</v>
      </c>
      <c r="O4" s="63" t="s">
        <v>233</v>
      </c>
      <c r="P4" s="63" t="s">
        <v>234</v>
      </c>
      <c r="Q4" s="61" t="s">
        <v>235</v>
      </c>
      <c r="R4" s="61" t="s">
        <v>236</v>
      </c>
      <c r="S4" s="61" t="s">
        <v>237</v>
      </c>
      <c r="T4" s="61" t="s">
        <v>850</v>
      </c>
      <c r="U4" s="61" t="s">
        <v>238</v>
      </c>
      <c r="V4" s="64" t="s">
        <v>240</v>
      </c>
      <c r="W4" s="64" t="s">
        <v>241</v>
      </c>
      <c r="X4" s="324"/>
      <c r="Y4" s="70" t="s">
        <v>851</v>
      </c>
      <c r="Z4" s="71" t="s">
        <v>74</v>
      </c>
      <c r="AA4" s="71" t="s">
        <v>849</v>
      </c>
      <c r="AB4" s="71" t="s">
        <v>852</v>
      </c>
      <c r="AC4" s="71" t="s">
        <v>302</v>
      </c>
      <c r="AD4" s="71" t="s">
        <v>853</v>
      </c>
      <c r="AE4" s="71" t="s">
        <v>246</v>
      </c>
      <c r="AF4" s="72" t="s">
        <v>854</v>
      </c>
      <c r="AG4" s="70" t="s">
        <v>304</v>
      </c>
      <c r="AH4" s="71" t="s">
        <v>305</v>
      </c>
      <c r="AI4" s="71" t="s">
        <v>306</v>
      </c>
      <c r="AJ4" s="71" t="s">
        <v>307</v>
      </c>
      <c r="AK4" s="71" t="s">
        <v>308</v>
      </c>
      <c r="AL4" s="71" t="s">
        <v>309</v>
      </c>
      <c r="AM4" s="71" t="s">
        <v>310</v>
      </c>
      <c r="AN4" s="71" t="s">
        <v>311</v>
      </c>
      <c r="AO4" s="72" t="s">
        <v>312</v>
      </c>
      <c r="AP4" s="60" t="s">
        <v>15</v>
      </c>
      <c r="AQ4" s="61" t="s">
        <v>317</v>
      </c>
      <c r="AR4" s="61" t="s">
        <v>318</v>
      </c>
      <c r="AS4" s="61" t="s">
        <v>319</v>
      </c>
      <c r="AT4" s="61" t="s">
        <v>321</v>
      </c>
      <c r="AU4" s="61" t="s">
        <v>322</v>
      </c>
      <c r="AV4" s="61" t="s">
        <v>323</v>
      </c>
      <c r="AW4" s="370"/>
      <c r="AX4" s="338"/>
    </row>
    <row r="5" spans="1:53" ht="43.2">
      <c r="A5" s="73" t="s">
        <v>201</v>
      </c>
      <c r="B5" s="154" t="s">
        <v>453</v>
      </c>
      <c r="C5" s="155" t="s">
        <v>454</v>
      </c>
      <c r="D5" s="156" t="s">
        <v>455</v>
      </c>
      <c r="E5" s="157"/>
      <c r="F5" s="158" t="s">
        <v>456</v>
      </c>
      <c r="G5" s="159"/>
      <c r="H5" s="159"/>
      <c r="I5" s="159"/>
      <c r="J5" s="159"/>
      <c r="K5" s="160"/>
      <c r="L5" s="160"/>
      <c r="M5" s="160"/>
      <c r="N5" s="160"/>
      <c r="O5" s="160"/>
      <c r="P5" s="160"/>
      <c r="Q5" s="160"/>
      <c r="R5" s="160"/>
      <c r="S5" s="160"/>
      <c r="T5" s="160"/>
      <c r="U5" s="160"/>
      <c r="V5" s="161"/>
      <c r="W5" s="161"/>
      <c r="X5" s="162" t="s">
        <v>457</v>
      </c>
      <c r="Y5" s="163"/>
      <c r="Z5" s="164"/>
      <c r="AA5" s="164"/>
      <c r="AB5" s="164"/>
      <c r="AC5" s="164"/>
      <c r="AD5" s="164"/>
      <c r="AE5" s="164"/>
      <c r="AF5" s="165" t="s">
        <v>458</v>
      </c>
      <c r="AG5" s="166"/>
      <c r="AH5" s="159"/>
      <c r="AI5" s="159"/>
      <c r="AJ5" s="159"/>
      <c r="AK5" s="159"/>
      <c r="AL5" s="159"/>
      <c r="AM5" s="159"/>
      <c r="AN5" s="159"/>
      <c r="AO5" s="167"/>
      <c r="AP5" s="168" t="s">
        <v>459</v>
      </c>
      <c r="AQ5" s="169"/>
      <c r="AR5" s="169"/>
      <c r="AS5" s="169"/>
      <c r="AT5" s="169"/>
      <c r="AU5" s="169"/>
      <c r="AV5" s="169"/>
      <c r="AW5" s="170"/>
      <c r="AX5" s="171"/>
      <c r="AZ5" s="172"/>
      <c r="BA5" s="1" t="s">
        <v>460</v>
      </c>
    </row>
    <row r="6" spans="1:53" ht="43.2">
      <c r="A6" s="73" t="s">
        <v>202</v>
      </c>
      <c r="B6" s="173" t="s">
        <v>461</v>
      </c>
      <c r="C6" s="174" t="s">
        <v>462</v>
      </c>
      <c r="D6" s="174" t="s">
        <v>463</v>
      </c>
      <c r="E6" s="175"/>
      <c r="F6" s="176"/>
      <c r="G6" s="9" t="s">
        <v>464</v>
      </c>
      <c r="H6" s="177"/>
      <c r="I6" s="177"/>
      <c r="J6" s="177"/>
      <c r="K6" s="148"/>
      <c r="L6" s="148"/>
      <c r="M6" s="148"/>
      <c r="N6" s="148"/>
      <c r="O6" s="148"/>
      <c r="P6" s="148"/>
      <c r="Q6" s="148"/>
      <c r="R6" s="148"/>
      <c r="S6" s="148"/>
      <c r="T6" s="148"/>
      <c r="U6" s="178" t="s">
        <v>464</v>
      </c>
      <c r="V6" s="161"/>
      <c r="W6" s="179"/>
      <c r="X6" s="180" t="s">
        <v>465</v>
      </c>
      <c r="Y6" s="176"/>
      <c r="Z6" s="181"/>
      <c r="AA6" s="181"/>
      <c r="AB6" s="181"/>
      <c r="AC6" s="181"/>
      <c r="AD6" s="181"/>
      <c r="AE6" s="181"/>
      <c r="AF6" s="182"/>
      <c r="AG6" s="183"/>
      <c r="AH6" s="148"/>
      <c r="AI6" s="148"/>
      <c r="AJ6" s="148"/>
      <c r="AK6" s="148"/>
      <c r="AL6" s="148"/>
      <c r="AM6" s="148"/>
      <c r="AN6" s="148"/>
      <c r="AO6" s="184"/>
      <c r="AP6" s="185" t="s">
        <v>466</v>
      </c>
      <c r="AQ6" s="9" t="s">
        <v>464</v>
      </c>
      <c r="AR6" s="9"/>
      <c r="AS6" s="9"/>
      <c r="AT6" s="9"/>
      <c r="AU6" s="148"/>
      <c r="AV6" s="148"/>
      <c r="AW6" s="186" t="s">
        <v>467</v>
      </c>
      <c r="AX6" s="187"/>
      <c r="AZ6" s="188"/>
      <c r="BA6" s="1" t="s">
        <v>468</v>
      </c>
    </row>
    <row r="7" spans="1:53" ht="57.6">
      <c r="A7" s="73" t="s">
        <v>203</v>
      </c>
      <c r="B7" s="189" t="s">
        <v>469</v>
      </c>
      <c r="C7" s="174" t="s">
        <v>470</v>
      </c>
      <c r="D7" s="148" t="s">
        <v>471</v>
      </c>
      <c r="E7" s="175"/>
      <c r="F7" s="176"/>
      <c r="G7" s="177"/>
      <c r="H7" s="177"/>
      <c r="I7" s="177"/>
      <c r="J7" s="177"/>
      <c r="K7" s="177"/>
      <c r="L7" s="177"/>
      <c r="M7" s="177"/>
      <c r="N7" s="177"/>
      <c r="O7" s="177"/>
      <c r="P7" s="177"/>
      <c r="Q7" s="177"/>
      <c r="R7" s="177"/>
      <c r="S7" s="177"/>
      <c r="T7" s="177"/>
      <c r="U7" s="190" t="s">
        <v>472</v>
      </c>
      <c r="V7" s="161"/>
      <c r="W7" s="191"/>
      <c r="X7" s="180" t="s">
        <v>473</v>
      </c>
      <c r="Y7" s="192"/>
      <c r="Z7" s="148"/>
      <c r="AA7" s="148"/>
      <c r="AB7" s="148"/>
      <c r="AC7" s="148"/>
      <c r="AD7" s="148"/>
      <c r="AE7" s="148"/>
      <c r="AF7" s="184"/>
      <c r="AG7" s="183"/>
      <c r="AH7" s="148"/>
      <c r="AI7" s="148"/>
      <c r="AJ7" s="148"/>
      <c r="AK7" s="148"/>
      <c r="AL7" s="148"/>
      <c r="AM7" s="148"/>
      <c r="AN7" s="148"/>
      <c r="AO7" s="184"/>
      <c r="AP7" s="193" t="s">
        <v>474</v>
      </c>
      <c r="AQ7" s="181"/>
      <c r="AR7" s="181"/>
      <c r="AS7" s="181"/>
      <c r="AT7" s="181"/>
      <c r="AU7" s="181"/>
      <c r="AV7" s="181"/>
      <c r="AW7" s="179"/>
      <c r="AX7" s="187"/>
      <c r="AZ7" s="194"/>
      <c r="BA7" s="1" t="s">
        <v>475</v>
      </c>
    </row>
    <row r="8" spans="1:53">
      <c r="A8" s="73" t="s">
        <v>476</v>
      </c>
      <c r="B8" s="192"/>
      <c r="C8" s="195"/>
      <c r="D8" s="148"/>
      <c r="E8" s="196"/>
      <c r="F8" s="183"/>
      <c r="G8" s="148"/>
      <c r="H8" s="148"/>
      <c r="I8" s="148"/>
      <c r="J8" s="148"/>
      <c r="K8" s="148"/>
      <c r="L8" s="148"/>
      <c r="M8" s="148"/>
      <c r="N8" s="148"/>
      <c r="O8" s="148"/>
      <c r="P8" s="148"/>
      <c r="Q8" s="148"/>
      <c r="R8" s="148"/>
      <c r="S8" s="148"/>
      <c r="T8" s="148"/>
      <c r="U8" s="148"/>
      <c r="V8" s="179"/>
      <c r="W8" s="179"/>
      <c r="X8" s="187"/>
      <c r="Y8" s="183"/>
      <c r="Z8" s="148"/>
      <c r="AA8" s="148"/>
      <c r="AB8" s="148"/>
      <c r="AC8" s="148"/>
      <c r="AD8" s="148"/>
      <c r="AE8" s="148"/>
      <c r="AF8" s="184"/>
      <c r="AG8" s="183"/>
      <c r="AH8" s="148"/>
      <c r="AI8" s="148"/>
      <c r="AJ8" s="148"/>
      <c r="AK8" s="148"/>
      <c r="AL8" s="148"/>
      <c r="AM8" s="148"/>
      <c r="AN8" s="148"/>
      <c r="AO8" s="184"/>
      <c r="AP8" s="197"/>
      <c r="AQ8" s="148"/>
      <c r="AR8" s="148"/>
      <c r="AS8" s="148"/>
      <c r="AT8" s="148"/>
      <c r="AU8" s="148"/>
      <c r="AV8" s="148"/>
      <c r="AW8" s="179"/>
      <c r="AX8" s="187"/>
    </row>
    <row r="9" spans="1:53">
      <c r="A9" s="73" t="s">
        <v>206</v>
      </c>
      <c r="B9" s="198" t="s">
        <v>477</v>
      </c>
      <c r="C9" s="195"/>
      <c r="D9" s="178" t="s">
        <v>478</v>
      </c>
      <c r="E9" s="196"/>
      <c r="F9" s="183"/>
      <c r="G9" s="148"/>
      <c r="H9" s="148"/>
      <c r="I9" s="148"/>
      <c r="J9" s="148"/>
      <c r="K9" s="148"/>
      <c r="L9" s="148"/>
      <c r="M9" s="148"/>
      <c r="N9" s="148"/>
      <c r="O9" s="148"/>
      <c r="P9" s="148"/>
      <c r="Q9" s="148"/>
      <c r="R9" s="148"/>
      <c r="S9" s="148"/>
      <c r="T9" s="148"/>
      <c r="U9" s="148"/>
      <c r="V9" s="179"/>
      <c r="W9" s="179"/>
      <c r="X9" s="187"/>
      <c r="Y9" s="183"/>
      <c r="Z9" s="148"/>
      <c r="AA9" s="148"/>
      <c r="AB9" s="148"/>
      <c r="AC9" s="148"/>
      <c r="AD9" s="148"/>
      <c r="AE9" s="148"/>
      <c r="AF9" s="184"/>
      <c r="AG9" s="183"/>
      <c r="AH9" s="148"/>
      <c r="AI9" s="148"/>
      <c r="AJ9" s="148"/>
      <c r="AK9" s="148"/>
      <c r="AL9" s="148"/>
      <c r="AM9" s="148"/>
      <c r="AN9" s="148"/>
      <c r="AO9" s="184"/>
      <c r="AP9" s="197"/>
      <c r="AQ9" s="148"/>
      <c r="AR9" s="148"/>
      <c r="AS9" s="148"/>
      <c r="AT9" s="148"/>
      <c r="AU9" s="148"/>
      <c r="AV9" s="148"/>
      <c r="AW9" s="179"/>
      <c r="AX9" s="187"/>
    </row>
    <row r="10" spans="1:53" ht="28.8">
      <c r="A10" s="73" t="s">
        <v>204</v>
      </c>
      <c r="B10" s="189" t="s">
        <v>479</v>
      </c>
      <c r="C10" s="174" t="s">
        <v>480</v>
      </c>
      <c r="D10" s="148"/>
      <c r="E10" s="175"/>
      <c r="F10" s="183"/>
      <c r="G10" s="148"/>
      <c r="H10" s="148"/>
      <c r="I10" s="148"/>
      <c r="J10" s="148"/>
      <c r="K10" s="148"/>
      <c r="L10" s="148"/>
      <c r="M10" s="148"/>
      <c r="N10" s="148"/>
      <c r="O10" s="148"/>
      <c r="P10" s="148"/>
      <c r="Q10" s="148"/>
      <c r="R10" s="148"/>
      <c r="S10" s="148"/>
      <c r="T10" s="148"/>
      <c r="U10" s="148"/>
      <c r="V10" s="179"/>
      <c r="W10" s="179"/>
      <c r="X10" s="187"/>
      <c r="Y10" s="183"/>
      <c r="Z10" s="148"/>
      <c r="AA10" s="148"/>
      <c r="AB10" s="148"/>
      <c r="AC10" s="148"/>
      <c r="AD10" s="148"/>
      <c r="AE10" s="148"/>
      <c r="AF10" s="184"/>
      <c r="AG10" s="183"/>
      <c r="AH10" s="148"/>
      <c r="AI10" s="148"/>
      <c r="AJ10" s="148"/>
      <c r="AK10" s="148"/>
      <c r="AL10" s="148"/>
      <c r="AM10" s="148"/>
      <c r="AN10" s="148"/>
      <c r="AO10" s="184"/>
      <c r="AP10" s="197"/>
      <c r="AQ10" s="148"/>
      <c r="AR10" s="148"/>
      <c r="AS10" s="148"/>
      <c r="AT10" s="148"/>
      <c r="AU10" s="148"/>
      <c r="AV10" s="148"/>
      <c r="AW10" s="179"/>
      <c r="AX10" s="187"/>
    </row>
    <row r="11" spans="1:53" ht="28.8">
      <c r="A11" s="73" t="s">
        <v>205</v>
      </c>
      <c r="B11" s="189" t="s">
        <v>481</v>
      </c>
      <c r="C11" s="174" t="s">
        <v>482</v>
      </c>
      <c r="D11" s="148"/>
      <c r="E11" s="175"/>
      <c r="F11" s="183"/>
      <c r="G11" s="148"/>
      <c r="H11" s="148"/>
      <c r="I11" s="148"/>
      <c r="J11" s="148"/>
      <c r="K11" s="148"/>
      <c r="L11" s="148"/>
      <c r="M11" s="148"/>
      <c r="N11" s="148"/>
      <c r="O11" s="148"/>
      <c r="P11" s="148"/>
      <c r="Q11" s="148"/>
      <c r="R11" s="148"/>
      <c r="S11" s="148"/>
      <c r="T11" s="148"/>
      <c r="U11" s="148"/>
      <c r="V11" s="179"/>
      <c r="W11" s="179"/>
      <c r="X11" s="187"/>
      <c r="Y11" s="183"/>
      <c r="Z11" s="148"/>
      <c r="AA11" s="148"/>
      <c r="AB11" s="148"/>
      <c r="AC11" s="148"/>
      <c r="AD11" s="148"/>
      <c r="AE11" s="148"/>
      <c r="AF11" s="184"/>
      <c r="AG11" s="183"/>
      <c r="AH11" s="148"/>
      <c r="AI11" s="148"/>
      <c r="AJ11" s="148"/>
      <c r="AK11" s="148"/>
      <c r="AL11" s="148"/>
      <c r="AM11" s="148"/>
      <c r="AN11" s="148"/>
      <c r="AO11" s="184"/>
      <c r="AP11" s="197"/>
      <c r="AQ11" s="148"/>
      <c r="AR11" s="148"/>
      <c r="AS11" s="148"/>
      <c r="AT11" s="148"/>
      <c r="AU11" s="148"/>
      <c r="AV11" s="148"/>
      <c r="AW11" s="179"/>
      <c r="AX11" s="187"/>
    </row>
    <row r="12" spans="1:53" s="92" customFormat="1" ht="85.5" customHeight="1" thickBot="1">
      <c r="A12" s="73" t="s">
        <v>207</v>
      </c>
      <c r="B12" s="124" t="s">
        <v>483</v>
      </c>
      <c r="C12" s="125" t="s">
        <v>484</v>
      </c>
      <c r="D12" s="126" t="s">
        <v>485</v>
      </c>
      <c r="E12" s="127"/>
      <c r="F12" s="128" t="s">
        <v>855</v>
      </c>
      <c r="G12" s="199" t="s">
        <v>856</v>
      </c>
      <c r="H12" s="128" t="s">
        <v>487</v>
      </c>
      <c r="I12" s="128" t="s">
        <v>487</v>
      </c>
      <c r="J12" s="129" t="s">
        <v>488</v>
      </c>
      <c r="K12" s="130" t="s">
        <v>489</v>
      </c>
      <c r="L12" s="130" t="s">
        <v>489</v>
      </c>
      <c r="M12" s="125" t="s">
        <v>490</v>
      </c>
      <c r="N12" s="130" t="s">
        <v>489</v>
      </c>
      <c r="O12" s="130" t="s">
        <v>489</v>
      </c>
      <c r="P12" s="125" t="s">
        <v>489</v>
      </c>
      <c r="Q12" s="125" t="s">
        <v>857</v>
      </c>
      <c r="R12" s="130" t="s">
        <v>857</v>
      </c>
      <c r="S12" s="130" t="s">
        <v>857</v>
      </c>
      <c r="T12" s="148"/>
      <c r="U12" s="130" t="s">
        <v>491</v>
      </c>
      <c r="V12" s="130" t="s">
        <v>492</v>
      </c>
      <c r="W12" s="130" t="s">
        <v>492</v>
      </c>
      <c r="X12" s="200" t="s">
        <v>493</v>
      </c>
      <c r="Y12" s="201"/>
      <c r="Z12" s="125" t="s">
        <v>494</v>
      </c>
      <c r="AA12" s="125" t="s">
        <v>486</v>
      </c>
      <c r="AB12" s="202"/>
      <c r="AC12" s="202"/>
      <c r="AD12" s="125" t="s">
        <v>493</v>
      </c>
      <c r="AE12" s="202"/>
      <c r="AF12" s="125" t="s">
        <v>495</v>
      </c>
      <c r="AG12" s="137"/>
      <c r="AH12" s="138"/>
      <c r="AI12" s="138"/>
      <c r="AJ12" s="138"/>
      <c r="AK12" s="138"/>
      <c r="AL12" s="138"/>
      <c r="AM12" s="138"/>
      <c r="AN12" s="138"/>
      <c r="AO12" s="139"/>
      <c r="AP12" s="140" t="s">
        <v>496</v>
      </c>
      <c r="AQ12" s="141" t="s">
        <v>497</v>
      </c>
      <c r="AR12" s="126" t="s">
        <v>486</v>
      </c>
      <c r="AS12" s="125" t="s">
        <v>498</v>
      </c>
      <c r="AT12" s="126" t="s">
        <v>499</v>
      </c>
      <c r="AU12" s="126" t="s">
        <v>500</v>
      </c>
      <c r="AV12" s="141" t="s">
        <v>501</v>
      </c>
      <c r="AW12" s="142" t="s">
        <v>493</v>
      </c>
      <c r="AX12" s="143"/>
    </row>
    <row r="13" spans="1:53" s="43" customFormat="1">
      <c r="A13" s="144"/>
      <c r="B13" s="145"/>
      <c r="C13" s="145"/>
      <c r="D13" s="146"/>
      <c r="E13" s="145"/>
      <c r="F13" s="145"/>
      <c r="G13" s="145"/>
      <c r="H13" s="145"/>
      <c r="I13" s="145"/>
      <c r="J13" s="145"/>
      <c r="K13" s="145"/>
      <c r="L13" s="145"/>
      <c r="M13" s="145"/>
      <c r="N13" s="145"/>
      <c r="O13" s="145"/>
      <c r="P13" s="145"/>
      <c r="Q13" s="145"/>
      <c r="R13" s="145"/>
      <c r="S13" s="145"/>
      <c r="T13" s="145"/>
      <c r="U13" s="145"/>
      <c r="V13" s="145"/>
      <c r="W13" s="145"/>
      <c r="X13" s="145"/>
    </row>
    <row r="14" spans="1:53" ht="44.4" customHeight="1">
      <c r="A14" s="313" t="s">
        <v>502</v>
      </c>
      <c r="B14" s="148"/>
      <c r="C14" s="148"/>
      <c r="D14" s="148"/>
      <c r="E14" s="148" t="s">
        <v>503</v>
      </c>
      <c r="F14" s="148"/>
      <c r="G14" s="148"/>
      <c r="H14" s="148"/>
      <c r="I14" s="148"/>
      <c r="J14" s="148"/>
      <c r="K14" s="148"/>
      <c r="L14" s="148"/>
      <c r="M14" s="148"/>
      <c r="N14" s="148"/>
      <c r="O14" s="148"/>
      <c r="P14" s="148"/>
      <c r="Q14" s="148"/>
      <c r="R14" s="148"/>
      <c r="S14" s="148"/>
      <c r="T14" s="148"/>
      <c r="U14" s="148"/>
      <c r="V14" s="148"/>
      <c r="W14" s="148"/>
      <c r="X14" s="148"/>
      <c r="Y14" s="148" t="s">
        <v>850</v>
      </c>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row>
    <row r="15" spans="1:53" ht="44.4" customHeight="1">
      <c r="A15" s="313"/>
      <c r="B15" s="148"/>
      <c r="C15" s="14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row>
    <row r="16" spans="1:53" ht="44.4" customHeight="1">
      <c r="A16" s="313"/>
      <c r="B16" s="148"/>
      <c r="C16" s="14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c r="AS16" s="148"/>
      <c r="AT16" s="148"/>
      <c r="AU16" s="148"/>
      <c r="AV16" s="148"/>
      <c r="AW16" s="148"/>
      <c r="AX16" s="148"/>
    </row>
    <row r="18" spans="3:3">
      <c r="C18" s="1" t="s">
        <v>858</v>
      </c>
    </row>
  </sheetData>
  <mergeCells count="20">
    <mergeCell ref="AX1:AX4"/>
    <mergeCell ref="B2:B4"/>
    <mergeCell ref="C2:C4"/>
    <mergeCell ref="D2:D4"/>
    <mergeCell ref="E2:E4"/>
    <mergeCell ref="F2:J3"/>
    <mergeCell ref="AG2:AO3"/>
    <mergeCell ref="AP2:AW2"/>
    <mergeCell ref="AQ3:AS3"/>
    <mergeCell ref="AT3:AV3"/>
    <mergeCell ref="AW3:AW4"/>
    <mergeCell ref="A14:A16"/>
    <mergeCell ref="K2:T3"/>
    <mergeCell ref="U2:W3"/>
    <mergeCell ref="X2:X4"/>
    <mergeCell ref="Y2:AF3"/>
    <mergeCell ref="A1:A4"/>
    <mergeCell ref="B1:E1"/>
    <mergeCell ref="F1:W1"/>
    <mergeCell ref="X1:AW1"/>
  </mergeCell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7FE02-AD97-449F-9524-EBAD2D287763}">
  <sheetPr>
    <outlinePr summaryBelow="0" summaryRight="0"/>
  </sheetPr>
  <dimension ref="A1:G73"/>
  <sheetViews>
    <sheetView zoomScaleNormal="100" workbookViewId="0">
      <pane ySplit="1" topLeftCell="A2" activePane="bottomLeft" state="frozen"/>
      <selection pane="bottomLeft" activeCell="C1" sqref="C1"/>
    </sheetView>
  </sheetViews>
  <sheetFormatPr defaultRowHeight="14.4" outlineLevelRow="1"/>
  <cols>
    <col min="1" max="1" width="41.109375" style="220" customWidth="1"/>
    <col min="2" max="2" width="34.109375" style="220" hidden="1" customWidth="1"/>
    <col min="3" max="6" width="34.109375" style="220" customWidth="1"/>
    <col min="7" max="7" width="83.109375" customWidth="1"/>
  </cols>
  <sheetData>
    <row r="1" spans="1:7">
      <c r="A1" s="224" t="s">
        <v>859</v>
      </c>
      <c r="B1" s="224" t="s">
        <v>860</v>
      </c>
      <c r="C1" s="224" t="s">
        <v>861</v>
      </c>
      <c r="D1" s="224" t="s">
        <v>862</v>
      </c>
      <c r="E1" s="224" t="s">
        <v>863</v>
      </c>
      <c r="F1" s="224" t="s">
        <v>864</v>
      </c>
      <c r="G1" s="225" t="s">
        <v>865</v>
      </c>
    </row>
    <row r="2" spans="1:7" s="228" customFormat="1">
      <c r="A2" s="226" t="s">
        <v>866</v>
      </c>
      <c r="B2" s="227"/>
      <c r="C2" s="227"/>
      <c r="D2" s="227"/>
      <c r="E2" s="227"/>
      <c r="F2" s="227"/>
    </row>
    <row r="3" spans="1:7" s="228" customFormat="1" ht="172.8">
      <c r="A3" s="229"/>
      <c r="B3" s="229" t="s">
        <v>528</v>
      </c>
      <c r="C3" s="229" t="s">
        <v>867</v>
      </c>
      <c r="D3" s="229" t="s">
        <v>868</v>
      </c>
      <c r="E3" s="229"/>
      <c r="F3" s="229"/>
    </row>
    <row r="4" spans="1:7" s="228" customFormat="1">
      <c r="A4" s="226" t="s">
        <v>869</v>
      </c>
      <c r="B4" s="227"/>
      <c r="C4" s="227"/>
      <c r="D4" s="227"/>
      <c r="E4" s="227"/>
      <c r="F4" s="227"/>
    </row>
    <row r="5" spans="1:7" s="228" customFormat="1">
      <c r="A5" s="229"/>
      <c r="B5" s="229" t="s">
        <v>528</v>
      </c>
      <c r="C5" s="229" t="s">
        <v>870</v>
      </c>
      <c r="D5" s="229" t="s">
        <v>870</v>
      </c>
      <c r="E5" s="229" t="s">
        <v>870</v>
      </c>
      <c r="F5" s="229"/>
    </row>
    <row r="6" spans="1:7" s="228" customFormat="1">
      <c r="A6" s="226" t="s">
        <v>509</v>
      </c>
      <c r="B6" s="227"/>
      <c r="C6" s="227"/>
      <c r="D6" s="227"/>
      <c r="E6" s="227"/>
      <c r="F6" s="227"/>
    </row>
    <row r="7" spans="1:7" s="228" customFormat="1" ht="100.8">
      <c r="A7" s="229"/>
      <c r="B7" s="229" t="s">
        <v>528</v>
      </c>
      <c r="C7" s="229" t="s">
        <v>871</v>
      </c>
      <c r="D7" s="229" t="s">
        <v>872</v>
      </c>
      <c r="E7" s="229"/>
      <c r="F7" s="229"/>
    </row>
    <row r="8" spans="1:7" s="228" customFormat="1">
      <c r="A8" s="226" t="s">
        <v>873</v>
      </c>
      <c r="B8" s="227"/>
      <c r="C8" s="227"/>
      <c r="D8" s="227"/>
      <c r="E8" s="227"/>
      <c r="F8" s="227"/>
    </row>
    <row r="9" spans="1:7" s="228" customFormat="1" ht="72">
      <c r="A9" s="229" t="s">
        <v>874</v>
      </c>
      <c r="B9" s="229" t="s">
        <v>528</v>
      </c>
      <c r="C9" s="229" t="s">
        <v>875</v>
      </c>
      <c r="D9" s="230" t="s">
        <v>876</v>
      </c>
      <c r="E9" s="230" t="s">
        <v>877</v>
      </c>
      <c r="F9" s="230" t="s">
        <v>878</v>
      </c>
    </row>
    <row r="10" spans="1:7">
      <c r="A10" s="231" t="s">
        <v>879</v>
      </c>
      <c r="B10" s="232"/>
      <c r="C10" s="232"/>
      <c r="D10" s="232"/>
      <c r="E10" s="232"/>
      <c r="F10" s="232"/>
    </row>
    <row r="11" spans="1:7" collapsed="1">
      <c r="A11" s="233" t="s">
        <v>880</v>
      </c>
      <c r="B11" s="234" t="s">
        <v>516</v>
      </c>
      <c r="C11" s="234" t="s">
        <v>516</v>
      </c>
      <c r="D11" s="234"/>
      <c r="E11" s="234"/>
      <c r="F11" s="234"/>
    </row>
    <row r="12" spans="1:7" hidden="1" outlineLevel="1">
      <c r="A12" s="235" t="s">
        <v>881</v>
      </c>
      <c r="B12" s="222" t="s">
        <v>516</v>
      </c>
      <c r="C12" s="222" t="s">
        <v>516</v>
      </c>
      <c r="D12" s="222"/>
      <c r="E12" s="222"/>
      <c r="F12" s="222"/>
    </row>
    <row r="13" spans="1:7" hidden="1" outlineLevel="1">
      <c r="A13" s="235" t="s">
        <v>882</v>
      </c>
      <c r="B13" s="222" t="s">
        <v>516</v>
      </c>
      <c r="C13" s="222" t="s">
        <v>516</v>
      </c>
      <c r="D13" s="222"/>
      <c r="E13" s="222"/>
      <c r="F13" s="222"/>
    </row>
    <row r="14" spans="1:7" hidden="1" outlineLevel="1">
      <c r="A14" s="235" t="s">
        <v>883</v>
      </c>
      <c r="B14" s="222" t="s">
        <v>516</v>
      </c>
      <c r="C14" s="222" t="s">
        <v>516</v>
      </c>
      <c r="D14" s="222"/>
      <c r="E14" s="222"/>
      <c r="F14" s="222"/>
    </row>
    <row r="15" spans="1:7" hidden="1" outlineLevel="1">
      <c r="A15" s="235" t="s">
        <v>884</v>
      </c>
      <c r="B15" s="222" t="s">
        <v>516</v>
      </c>
      <c r="C15" s="222" t="s">
        <v>516</v>
      </c>
      <c r="D15" s="222"/>
      <c r="E15" s="222"/>
      <c r="F15" s="222"/>
    </row>
    <row r="16" spans="1:7" hidden="1" outlineLevel="1">
      <c r="A16" s="235" t="s">
        <v>885</v>
      </c>
      <c r="B16" s="222" t="s">
        <v>516</v>
      </c>
      <c r="C16" s="222" t="s">
        <v>516</v>
      </c>
      <c r="D16" s="222"/>
      <c r="E16" s="222"/>
      <c r="F16" s="222"/>
    </row>
    <row r="17" spans="1:6" hidden="1" outlineLevel="1">
      <c r="A17" s="235" t="s">
        <v>886</v>
      </c>
      <c r="B17" s="222" t="s">
        <v>516</v>
      </c>
      <c r="C17" s="222" t="s">
        <v>516</v>
      </c>
      <c r="D17" s="222"/>
      <c r="E17" s="222"/>
      <c r="F17" s="222"/>
    </row>
    <row r="18" spans="1:6" hidden="1" outlineLevel="1">
      <c r="A18" s="235" t="s">
        <v>887</v>
      </c>
      <c r="B18" s="222" t="s">
        <v>516</v>
      </c>
      <c r="C18" s="222" t="s">
        <v>516</v>
      </c>
      <c r="D18" s="222"/>
      <c r="E18" s="222"/>
      <c r="F18" s="222"/>
    </row>
    <row r="19" spans="1:6" hidden="1" outlineLevel="1">
      <c r="A19" s="235" t="s">
        <v>888</v>
      </c>
      <c r="B19" s="222" t="s">
        <v>516</v>
      </c>
      <c r="C19" s="222" t="s">
        <v>516</v>
      </c>
      <c r="D19" s="222"/>
      <c r="E19" s="222"/>
      <c r="F19" s="222"/>
    </row>
    <row r="20" spans="1:6" hidden="1" outlineLevel="1">
      <c r="A20" s="235" t="s">
        <v>889</v>
      </c>
      <c r="B20" s="222" t="s">
        <v>516</v>
      </c>
      <c r="C20" s="222" t="s">
        <v>528</v>
      </c>
      <c r="D20" s="222"/>
      <c r="E20" s="222"/>
      <c r="F20" s="222"/>
    </row>
    <row r="21" spans="1:6" collapsed="1">
      <c r="A21" s="233" t="s">
        <v>890</v>
      </c>
      <c r="B21" s="234" t="s">
        <v>516</v>
      </c>
      <c r="C21" s="234" t="s">
        <v>516</v>
      </c>
      <c r="D21" s="234"/>
      <c r="E21" s="234"/>
      <c r="F21" s="234"/>
    </row>
    <row r="22" spans="1:6" hidden="1" outlineLevel="1">
      <c r="A22" s="235" t="s">
        <v>891</v>
      </c>
      <c r="B22" s="222" t="s">
        <v>516</v>
      </c>
      <c r="C22" s="222" t="s">
        <v>516</v>
      </c>
      <c r="D22" s="222"/>
      <c r="E22" s="222"/>
      <c r="F22" s="222"/>
    </row>
    <row r="23" spans="1:6" hidden="1" outlineLevel="1">
      <c r="A23" s="235" t="s">
        <v>892</v>
      </c>
      <c r="B23" s="222" t="s">
        <v>516</v>
      </c>
      <c r="C23" s="222" t="s">
        <v>516</v>
      </c>
      <c r="D23" s="222"/>
      <c r="E23" s="222"/>
      <c r="F23" s="222"/>
    </row>
    <row r="24" spans="1:6" hidden="1" outlineLevel="1">
      <c r="A24" s="235" t="s">
        <v>893</v>
      </c>
      <c r="B24" s="222" t="s">
        <v>516</v>
      </c>
      <c r="C24" s="222" t="s">
        <v>516</v>
      </c>
      <c r="D24" s="222"/>
      <c r="E24" s="222"/>
      <c r="F24" s="222"/>
    </row>
    <row r="25" spans="1:6" hidden="1" outlineLevel="1">
      <c r="A25" s="235" t="s">
        <v>884</v>
      </c>
      <c r="B25" s="222" t="s">
        <v>516</v>
      </c>
      <c r="C25" s="222" t="s">
        <v>516</v>
      </c>
      <c r="D25" s="222"/>
      <c r="E25" s="222"/>
      <c r="F25" s="222"/>
    </row>
    <row r="26" spans="1:6" hidden="1" outlineLevel="1">
      <c r="A26" s="235" t="s">
        <v>894</v>
      </c>
      <c r="B26" s="222" t="s">
        <v>516</v>
      </c>
      <c r="C26" s="222" t="s">
        <v>516</v>
      </c>
      <c r="D26" s="222"/>
      <c r="E26" s="222"/>
      <c r="F26" s="222"/>
    </row>
    <row r="27" spans="1:6" hidden="1" outlineLevel="1">
      <c r="A27" s="235" t="s">
        <v>895</v>
      </c>
      <c r="B27" s="222" t="s">
        <v>528</v>
      </c>
      <c r="C27" s="222" t="s">
        <v>516</v>
      </c>
      <c r="D27" s="222"/>
      <c r="E27" s="222"/>
      <c r="F27" s="222"/>
    </row>
    <row r="28" spans="1:6" collapsed="1">
      <c r="A28" s="233" t="s">
        <v>896</v>
      </c>
      <c r="B28" s="234" t="s">
        <v>516</v>
      </c>
      <c r="C28" s="234" t="s">
        <v>516</v>
      </c>
      <c r="D28" s="234"/>
      <c r="E28" s="234"/>
      <c r="F28" s="234"/>
    </row>
    <row r="29" spans="1:6" hidden="1" outlineLevel="1">
      <c r="A29" s="235" t="s">
        <v>897</v>
      </c>
      <c r="B29" s="222" t="s">
        <v>516</v>
      </c>
      <c r="C29" s="222" t="s">
        <v>516</v>
      </c>
      <c r="D29" s="222"/>
      <c r="E29" s="222"/>
      <c r="F29" s="222"/>
    </row>
    <row r="30" spans="1:6" hidden="1" outlineLevel="1">
      <c r="A30" s="235" t="s">
        <v>891</v>
      </c>
      <c r="B30" s="222" t="s">
        <v>516</v>
      </c>
      <c r="C30" s="222" t="s">
        <v>516</v>
      </c>
      <c r="D30" s="222"/>
      <c r="E30" s="222"/>
      <c r="F30" s="222"/>
    </row>
    <row r="31" spans="1:6" hidden="1" outlineLevel="1">
      <c r="A31" s="235" t="s">
        <v>892</v>
      </c>
      <c r="B31" s="222" t="s">
        <v>516</v>
      </c>
      <c r="C31" s="222" t="s">
        <v>516</v>
      </c>
      <c r="D31" s="222"/>
      <c r="E31" s="222"/>
      <c r="F31" s="222"/>
    </row>
    <row r="32" spans="1:6" hidden="1" outlineLevel="1">
      <c r="A32" s="235" t="s">
        <v>893</v>
      </c>
      <c r="B32" s="222" t="s">
        <v>516</v>
      </c>
      <c r="C32" s="222" t="s">
        <v>516</v>
      </c>
      <c r="D32" s="222"/>
      <c r="E32" s="222"/>
      <c r="F32" s="222"/>
    </row>
    <row r="33" spans="1:7" hidden="1" outlineLevel="1">
      <c r="A33" s="235" t="s">
        <v>884</v>
      </c>
      <c r="B33" s="222" t="s">
        <v>516</v>
      </c>
      <c r="C33" s="222" t="s">
        <v>516</v>
      </c>
      <c r="D33" s="222"/>
      <c r="E33" s="222"/>
      <c r="F33" s="222"/>
    </row>
    <row r="34" spans="1:7" hidden="1" outlineLevel="1">
      <c r="A34" s="235" t="s">
        <v>894</v>
      </c>
      <c r="B34" s="222" t="s">
        <v>516</v>
      </c>
      <c r="C34" s="222" t="s">
        <v>516</v>
      </c>
      <c r="D34" s="222"/>
      <c r="E34" s="222"/>
      <c r="F34" s="222"/>
    </row>
    <row r="35" spans="1:7" hidden="1" outlineLevel="1">
      <c r="A35" s="235" t="s">
        <v>895</v>
      </c>
      <c r="B35" s="222" t="s">
        <v>528</v>
      </c>
      <c r="C35" s="222" t="s">
        <v>516</v>
      </c>
      <c r="D35" s="222"/>
      <c r="E35" s="222"/>
      <c r="F35" s="222"/>
    </row>
    <row r="36" spans="1:7" collapsed="1">
      <c r="A36" s="233" t="s">
        <v>898</v>
      </c>
      <c r="B36" s="234" t="s">
        <v>899</v>
      </c>
      <c r="C36" s="234" t="s">
        <v>516</v>
      </c>
      <c r="D36" s="234"/>
      <c r="E36" s="234"/>
      <c r="F36" s="234"/>
    </row>
    <row r="37" spans="1:7" hidden="1" outlineLevel="1">
      <c r="A37" s="235" t="s">
        <v>900</v>
      </c>
      <c r="B37" s="222" t="s">
        <v>528</v>
      </c>
      <c r="C37" s="222" t="s">
        <v>516</v>
      </c>
      <c r="D37" s="222"/>
      <c r="E37" s="222"/>
      <c r="F37" s="222"/>
    </row>
    <row r="38" spans="1:7" hidden="1" outlineLevel="1">
      <c r="A38" s="235" t="s">
        <v>901</v>
      </c>
      <c r="B38" s="222" t="s">
        <v>516</v>
      </c>
      <c r="C38" s="222" t="s">
        <v>516</v>
      </c>
      <c r="D38" s="222"/>
      <c r="E38" s="222"/>
      <c r="F38" s="222"/>
    </row>
    <row r="39" spans="1:7" hidden="1" outlineLevel="1">
      <c r="A39" s="235" t="s">
        <v>902</v>
      </c>
      <c r="B39" s="222" t="s">
        <v>528</v>
      </c>
      <c r="C39" s="222" t="s">
        <v>516</v>
      </c>
      <c r="D39" s="222"/>
      <c r="E39" s="222"/>
      <c r="F39" s="222"/>
    </row>
    <row r="40" spans="1:7">
      <c r="A40" s="231" t="s">
        <v>903</v>
      </c>
      <c r="B40" s="232"/>
      <c r="C40" s="232"/>
      <c r="D40" s="232"/>
      <c r="E40" s="232"/>
      <c r="F40" s="232"/>
    </row>
    <row r="41" spans="1:7">
      <c r="A41" s="236" t="s">
        <v>904</v>
      </c>
      <c r="B41" s="222" t="s">
        <v>528</v>
      </c>
      <c r="C41" s="222" t="s">
        <v>516</v>
      </c>
      <c r="D41" s="222"/>
      <c r="E41" s="222"/>
      <c r="F41" s="222"/>
    </row>
    <row r="42" spans="1:7">
      <c r="A42" s="236" t="s">
        <v>905</v>
      </c>
      <c r="B42" s="222" t="s">
        <v>516</v>
      </c>
      <c r="C42" s="222" t="s">
        <v>906</v>
      </c>
      <c r="D42" s="222"/>
      <c r="E42" s="222"/>
      <c r="F42" s="222"/>
    </row>
    <row r="43" spans="1:7" ht="28.8">
      <c r="A43" s="236" t="s">
        <v>907</v>
      </c>
      <c r="B43" s="237" t="s">
        <v>908</v>
      </c>
      <c r="C43" s="237" t="s">
        <v>909</v>
      </c>
      <c r="D43" s="237"/>
      <c r="E43" s="237"/>
      <c r="F43" s="237"/>
      <c r="G43" s="371"/>
    </row>
    <row r="44" spans="1:7">
      <c r="A44" s="236" t="s">
        <v>910</v>
      </c>
      <c r="B44" s="237" t="s">
        <v>516</v>
      </c>
      <c r="C44" s="237" t="s">
        <v>528</v>
      </c>
      <c r="D44" s="237"/>
      <c r="E44" s="237"/>
      <c r="F44" s="237"/>
      <c r="G44" s="371"/>
    </row>
    <row r="45" spans="1:7">
      <c r="A45" s="236" t="s">
        <v>911</v>
      </c>
      <c r="B45" s="237" t="s">
        <v>516</v>
      </c>
      <c r="C45" s="237" t="s">
        <v>528</v>
      </c>
      <c r="D45" s="237"/>
      <c r="E45" s="237"/>
      <c r="F45" s="237"/>
      <c r="G45" s="371"/>
    </row>
    <row r="46" spans="1:7">
      <c r="A46" s="236" t="s">
        <v>912</v>
      </c>
      <c r="B46" s="222" t="s">
        <v>913</v>
      </c>
      <c r="C46" s="222" t="s">
        <v>913</v>
      </c>
      <c r="D46" s="222"/>
      <c r="E46" s="222"/>
      <c r="F46" s="222"/>
    </row>
    <row r="47" spans="1:7">
      <c r="A47" s="236" t="s">
        <v>914</v>
      </c>
      <c r="B47" s="222" t="s">
        <v>915</v>
      </c>
      <c r="C47" s="237" t="s">
        <v>528</v>
      </c>
      <c r="D47" s="237"/>
      <c r="E47" s="237"/>
      <c r="F47" s="237"/>
    </row>
    <row r="48" spans="1:7">
      <c r="A48" s="236" t="s">
        <v>916</v>
      </c>
      <c r="B48" s="222" t="s">
        <v>516</v>
      </c>
      <c r="C48" s="222" t="s">
        <v>528</v>
      </c>
      <c r="D48" s="222"/>
      <c r="E48" s="222"/>
      <c r="F48" s="222"/>
    </row>
    <row r="49" spans="1:7">
      <c r="A49" s="236" t="s">
        <v>917</v>
      </c>
      <c r="B49" s="222" t="s">
        <v>516</v>
      </c>
      <c r="C49" s="222" t="s">
        <v>918</v>
      </c>
      <c r="D49" s="222"/>
      <c r="E49" s="222"/>
      <c r="F49" s="222"/>
    </row>
    <row r="50" spans="1:7">
      <c r="A50" s="231" t="s">
        <v>320</v>
      </c>
      <c r="B50" s="232"/>
      <c r="C50" s="232"/>
      <c r="D50" s="232"/>
      <c r="E50" s="232"/>
      <c r="F50" s="232"/>
    </row>
    <row r="51" spans="1:7" ht="28.8">
      <c r="A51" s="236" t="s">
        <v>919</v>
      </c>
      <c r="B51" s="237" t="s">
        <v>920</v>
      </c>
      <c r="C51" s="237" t="s">
        <v>920</v>
      </c>
      <c r="D51" s="237"/>
      <c r="E51" s="237"/>
      <c r="F51" s="237"/>
    </row>
    <row r="52" spans="1:7" ht="28.8">
      <c r="A52" s="236" t="s">
        <v>921</v>
      </c>
      <c r="B52" s="237" t="s">
        <v>922</v>
      </c>
      <c r="C52" s="237" t="s">
        <v>923</v>
      </c>
      <c r="D52" s="237"/>
      <c r="E52" s="237"/>
      <c r="F52" s="237"/>
    </row>
    <row r="53" spans="1:7">
      <c r="A53" s="28" t="s">
        <v>924</v>
      </c>
      <c r="B53" s="237"/>
      <c r="C53" s="237"/>
      <c r="D53" s="237"/>
      <c r="E53" s="237"/>
      <c r="F53" s="237"/>
    </row>
    <row r="54" spans="1:7" ht="28.8">
      <c r="A54" s="236" t="s">
        <v>925</v>
      </c>
      <c r="B54" s="237" t="s">
        <v>926</v>
      </c>
      <c r="C54" s="237" t="s">
        <v>927</v>
      </c>
      <c r="D54" s="237"/>
      <c r="E54" s="237"/>
      <c r="F54" s="237"/>
    </row>
    <row r="55" spans="1:7">
      <c r="A55" s="231" t="s">
        <v>928</v>
      </c>
      <c r="B55" s="232"/>
      <c r="C55" s="232"/>
      <c r="D55" s="232"/>
      <c r="E55" s="232"/>
      <c r="F55" s="232"/>
    </row>
    <row r="56" spans="1:7">
      <c r="A56" s="236" t="s">
        <v>929</v>
      </c>
      <c r="B56" s="222" t="s">
        <v>930</v>
      </c>
      <c r="C56" s="222" t="s">
        <v>931</v>
      </c>
      <c r="D56" s="222"/>
      <c r="E56" s="222"/>
      <c r="F56" s="222"/>
      <c r="G56" t="s">
        <v>932</v>
      </c>
    </row>
    <row r="57" spans="1:7">
      <c r="A57" s="236" t="s">
        <v>933</v>
      </c>
      <c r="B57" s="222" t="s">
        <v>930</v>
      </c>
      <c r="C57" s="222" t="s">
        <v>934</v>
      </c>
      <c r="D57" s="222"/>
      <c r="E57" s="222"/>
      <c r="F57" s="222"/>
    </row>
    <row r="58" spans="1:7">
      <c r="A58" s="236" t="s">
        <v>935</v>
      </c>
      <c r="B58" s="222" t="s">
        <v>936</v>
      </c>
      <c r="C58" s="222" t="s">
        <v>528</v>
      </c>
      <c r="D58" s="222"/>
      <c r="E58" s="222"/>
      <c r="F58" s="222"/>
    </row>
    <row r="59" spans="1:7" ht="28.8">
      <c r="A59" s="236" t="s">
        <v>937</v>
      </c>
      <c r="B59" s="237" t="s">
        <v>938</v>
      </c>
      <c r="C59" s="237" t="s">
        <v>939</v>
      </c>
      <c r="D59" s="237"/>
      <c r="E59" s="237"/>
      <c r="F59" s="237"/>
    </row>
    <row r="60" spans="1:7" ht="28.8">
      <c r="A60" s="236" t="s">
        <v>940</v>
      </c>
      <c r="B60" s="237" t="s">
        <v>528</v>
      </c>
      <c r="C60" s="237" t="s">
        <v>941</v>
      </c>
      <c r="D60" s="237"/>
      <c r="E60" s="237"/>
      <c r="F60" s="237"/>
    </row>
    <row r="61" spans="1:7" ht="28.8">
      <c r="A61" s="236" t="s">
        <v>942</v>
      </c>
      <c r="B61" s="237" t="s">
        <v>528</v>
      </c>
      <c r="C61" s="237" t="s">
        <v>943</v>
      </c>
      <c r="D61" s="237"/>
      <c r="E61" s="237"/>
      <c r="F61" s="237"/>
    </row>
    <row r="62" spans="1:7">
      <c r="A62" s="231" t="s">
        <v>279</v>
      </c>
      <c r="B62" s="232"/>
      <c r="C62" s="232"/>
      <c r="D62" s="232"/>
      <c r="E62" s="232"/>
      <c r="F62" s="232"/>
    </row>
    <row r="63" spans="1:7">
      <c r="A63" s="236" t="s">
        <v>944</v>
      </c>
      <c r="B63" s="222" t="s">
        <v>516</v>
      </c>
      <c r="C63" s="222" t="s">
        <v>945</v>
      </c>
      <c r="D63" s="222"/>
      <c r="E63" s="222"/>
      <c r="F63" s="222"/>
    </row>
    <row r="64" spans="1:7">
      <c r="A64" s="236" t="s">
        <v>946</v>
      </c>
      <c r="B64" s="222" t="s">
        <v>516</v>
      </c>
      <c r="C64" s="222" t="s">
        <v>528</v>
      </c>
      <c r="D64" s="222"/>
      <c r="E64" s="222"/>
      <c r="F64" s="222"/>
      <c r="G64" t="s">
        <v>947</v>
      </c>
    </row>
    <row r="65" spans="1:6">
      <c r="A65" s="236" t="s">
        <v>948</v>
      </c>
      <c r="B65" s="222" t="s">
        <v>516</v>
      </c>
      <c r="C65" s="222" t="s">
        <v>528</v>
      </c>
      <c r="D65" s="222"/>
      <c r="E65" s="222" t="s">
        <v>516</v>
      </c>
      <c r="F65" s="222"/>
    </row>
    <row r="66" spans="1:6">
      <c r="A66" s="236" t="s">
        <v>949</v>
      </c>
      <c r="B66" s="222" t="s">
        <v>528</v>
      </c>
      <c r="C66" s="222" t="s">
        <v>950</v>
      </c>
      <c r="D66" s="222"/>
      <c r="E66" s="222" t="s">
        <v>528</v>
      </c>
      <c r="F66" s="222"/>
    </row>
    <row r="67" spans="1:6">
      <c r="A67" s="236" t="s">
        <v>951</v>
      </c>
      <c r="B67" s="222" t="s">
        <v>528</v>
      </c>
      <c r="C67" s="237" t="s">
        <v>528</v>
      </c>
      <c r="D67" s="237"/>
      <c r="E67" s="237"/>
      <c r="F67" s="237"/>
    </row>
    <row r="68" spans="1:6">
      <c r="A68" s="231" t="s">
        <v>952</v>
      </c>
      <c r="B68" s="232"/>
      <c r="C68" s="238"/>
      <c r="D68" s="238"/>
      <c r="E68" s="238"/>
      <c r="F68" s="238"/>
    </row>
    <row r="69" spans="1:6">
      <c r="A69" s="236" t="s">
        <v>953</v>
      </c>
      <c r="B69" s="222" t="s">
        <v>528</v>
      </c>
      <c r="C69" s="237" t="s">
        <v>516</v>
      </c>
      <c r="D69" s="237"/>
      <c r="E69" s="237"/>
      <c r="F69" s="237"/>
    </row>
    <row r="70" spans="1:6">
      <c r="A70" s="239" t="s">
        <v>954</v>
      </c>
      <c r="B70" s="240"/>
      <c r="C70" s="240"/>
      <c r="D70" s="240"/>
      <c r="E70" s="240"/>
      <c r="F70" s="240"/>
    </row>
    <row r="71" spans="1:6" ht="31.8">
      <c r="A71" s="241"/>
      <c r="B71" s="241" t="s">
        <v>528</v>
      </c>
      <c r="C71" s="241"/>
      <c r="D71" s="242" t="s">
        <v>955</v>
      </c>
      <c r="E71" s="241"/>
      <c r="F71" s="242" t="s">
        <v>956</v>
      </c>
    </row>
    <row r="72" spans="1:6">
      <c r="A72" s="239" t="s">
        <v>957</v>
      </c>
      <c r="B72" s="240"/>
      <c r="C72" s="240"/>
      <c r="D72" s="240"/>
      <c r="E72" s="240"/>
      <c r="F72" s="240"/>
    </row>
    <row r="73" spans="1:6">
      <c r="A73" s="241"/>
      <c r="B73" s="241" t="s">
        <v>528</v>
      </c>
      <c r="C73" s="241"/>
      <c r="D73" s="241"/>
      <c r="E73" s="241"/>
      <c r="F73" s="241"/>
    </row>
  </sheetData>
  <mergeCells count="1">
    <mergeCell ref="G43:G45"/>
  </mergeCells>
  <hyperlinks>
    <hyperlink ref="D71" r:id="rId1" display="https://alm.accenture.com/wiki/display/ATW/Pricing" xr:uid="{09718BFC-312E-4F2F-9BF6-905C1A1D7F0E}"/>
    <hyperlink ref="F71" r:id="rId2" display="https://alm.accenture.com/wiki/display/ATLASSIAN/Jira" xr:uid="{62D45FDA-E5E5-4110-85E3-28D6E065C217}"/>
  </hyperlinks>
  <pageMargins left="0.7" right="0.7" top="0.75" bottom="0.75" header="0.3" footer="0.3"/>
  <pageSetup paperSize="9"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76393-648A-44DF-96A7-5930970CF1CD}">
  <sheetPr>
    <outlinePr summaryRight="0"/>
  </sheetPr>
  <dimension ref="A7:CL114"/>
  <sheetViews>
    <sheetView zoomScaleNormal="100" workbookViewId="0">
      <selection activeCell="E25" sqref="E25"/>
    </sheetView>
  </sheetViews>
  <sheetFormatPr defaultColWidth="8.88671875" defaultRowHeight="14.4" outlineLevelRow="1"/>
  <cols>
    <col min="1" max="1" width="34.5546875" style="92" bestFit="1" customWidth="1"/>
    <col min="2" max="2" width="30.109375" style="1" bestFit="1" customWidth="1"/>
    <col min="3" max="3" width="13.88671875" style="1" bestFit="1" customWidth="1"/>
    <col min="4" max="4" width="23.44140625" style="1" customWidth="1"/>
    <col min="5" max="5" width="33.88671875" style="1" customWidth="1"/>
    <col min="6" max="6" width="24.88671875" style="1" customWidth="1"/>
    <col min="7" max="7" width="9" style="1" customWidth="1"/>
    <col min="8" max="12" width="8.88671875" style="1"/>
    <col min="13" max="13" width="13" style="1" bestFit="1" customWidth="1"/>
    <col min="14" max="14" width="11.44140625" style="1" bestFit="1" customWidth="1"/>
    <col min="15" max="27" width="8.88671875" style="1"/>
    <col min="28" max="90" width="8.88671875" style="147"/>
    <col min="91" max="16384" width="8.88671875" style="1"/>
  </cols>
  <sheetData>
    <row r="7" spans="1:14">
      <c r="A7" s="373"/>
      <c r="B7" s="374"/>
      <c r="C7" s="374"/>
      <c r="D7" s="374"/>
      <c r="E7" s="374"/>
      <c r="F7" s="375"/>
      <c r="G7" s="312" t="s">
        <v>192</v>
      </c>
      <c r="H7" s="312"/>
      <c r="I7" s="312"/>
      <c r="J7" s="312"/>
      <c r="K7" s="312"/>
      <c r="L7" s="312"/>
      <c r="M7" s="312"/>
      <c r="N7" s="379" t="s">
        <v>193</v>
      </c>
    </row>
    <row r="8" spans="1:14">
      <c r="A8" s="376"/>
      <c r="B8" s="377"/>
      <c r="C8" s="377"/>
      <c r="D8" s="377"/>
      <c r="E8" s="377"/>
      <c r="F8" s="378"/>
      <c r="G8" s="252" t="s">
        <v>201</v>
      </c>
      <c r="H8" s="252" t="s">
        <v>202</v>
      </c>
      <c r="I8" s="252" t="s">
        <v>203</v>
      </c>
      <c r="J8" s="252" t="s">
        <v>204</v>
      </c>
      <c r="K8" s="252" t="s">
        <v>205</v>
      </c>
      <c r="L8" s="252" t="s">
        <v>206</v>
      </c>
      <c r="M8" s="252" t="s">
        <v>207</v>
      </c>
      <c r="N8" s="379"/>
    </row>
    <row r="9" spans="1:14">
      <c r="A9" s="380"/>
      <c r="B9" s="380"/>
      <c r="C9" s="380"/>
      <c r="D9" s="380"/>
      <c r="E9" s="270" t="s">
        <v>199</v>
      </c>
      <c r="F9" s="271" t="s">
        <v>200</v>
      </c>
      <c r="G9" s="148"/>
      <c r="H9" s="148"/>
      <c r="I9" s="148"/>
      <c r="J9" s="148"/>
      <c r="K9" s="148"/>
      <c r="L9" s="148"/>
      <c r="M9" s="148"/>
      <c r="N9" s="148"/>
    </row>
    <row r="10" spans="1:14">
      <c r="A10" s="372" t="s">
        <v>325</v>
      </c>
      <c r="B10" s="343" t="s">
        <v>436</v>
      </c>
      <c r="C10" s="381"/>
      <c r="D10" s="382"/>
      <c r="E10" s="272" t="s">
        <v>219</v>
      </c>
      <c r="F10" s="273" t="s">
        <v>213</v>
      </c>
      <c r="G10" s="148"/>
      <c r="H10" s="148"/>
      <c r="I10" s="148"/>
      <c r="J10" s="148"/>
      <c r="K10" s="148"/>
      <c r="L10" s="148"/>
      <c r="M10" s="148"/>
      <c r="N10" s="148"/>
    </row>
    <row r="11" spans="1:14">
      <c r="A11" s="372"/>
      <c r="B11" s="343" t="s">
        <v>437</v>
      </c>
      <c r="C11" s="381"/>
      <c r="D11" s="382"/>
      <c r="E11" s="272" t="s">
        <v>219</v>
      </c>
      <c r="F11" s="273" t="s">
        <v>217</v>
      </c>
      <c r="G11" s="148"/>
      <c r="H11" s="148"/>
      <c r="I11" s="148"/>
      <c r="J11" s="148"/>
      <c r="K11" s="148"/>
      <c r="L11" s="148"/>
      <c r="M11" s="148"/>
      <c r="N11" s="148"/>
    </row>
    <row r="12" spans="1:14">
      <c r="A12" s="372"/>
      <c r="B12" s="343" t="s">
        <v>328</v>
      </c>
      <c r="C12" s="381"/>
      <c r="D12" s="382"/>
      <c r="E12" s="272" t="s">
        <v>225</v>
      </c>
      <c r="F12" s="273" t="s">
        <v>217</v>
      </c>
      <c r="G12" s="148"/>
      <c r="H12" s="148"/>
      <c r="I12" s="148"/>
      <c r="J12" s="148"/>
      <c r="K12" s="148"/>
      <c r="L12" s="148"/>
      <c r="M12" s="148"/>
      <c r="N12" s="148"/>
    </row>
    <row r="13" spans="1:14">
      <c r="A13" s="372"/>
      <c r="B13" s="343" t="s">
        <v>438</v>
      </c>
      <c r="C13" s="381"/>
      <c r="D13" s="382"/>
      <c r="E13" s="272" t="s">
        <v>225</v>
      </c>
      <c r="F13" s="273" t="s">
        <v>217</v>
      </c>
      <c r="G13" s="148"/>
      <c r="H13" s="148"/>
      <c r="I13" s="148"/>
      <c r="J13" s="148"/>
      <c r="K13" s="148"/>
      <c r="L13" s="148"/>
      <c r="M13" s="148"/>
      <c r="N13" s="148"/>
    </row>
    <row r="14" spans="1:14">
      <c r="A14" s="372" t="s">
        <v>209</v>
      </c>
      <c r="B14" s="362" t="s">
        <v>210</v>
      </c>
      <c r="C14" s="362"/>
      <c r="D14" s="63" t="s">
        <v>211</v>
      </c>
      <c r="E14" s="272" t="s">
        <v>212</v>
      </c>
      <c r="F14" s="273" t="s">
        <v>213</v>
      </c>
      <c r="G14" s="148"/>
      <c r="H14" s="148"/>
      <c r="I14" s="148"/>
      <c r="J14" s="148"/>
      <c r="K14" s="148"/>
      <c r="L14" s="148"/>
      <c r="M14" s="148"/>
      <c r="N14" s="148"/>
    </row>
    <row r="15" spans="1:14">
      <c r="A15" s="372"/>
      <c r="B15" s="362"/>
      <c r="C15" s="362"/>
      <c r="D15" s="63" t="s">
        <v>214</v>
      </c>
      <c r="E15" s="272" t="s">
        <v>215</v>
      </c>
      <c r="F15" s="273" t="s">
        <v>213</v>
      </c>
      <c r="G15" s="148"/>
      <c r="H15" s="148"/>
      <c r="I15" s="148"/>
      <c r="J15" s="148"/>
      <c r="K15" s="148"/>
      <c r="L15" s="148"/>
      <c r="M15" s="148"/>
      <c r="N15" s="148"/>
    </row>
    <row r="16" spans="1:14">
      <c r="A16" s="372"/>
      <c r="B16" s="362"/>
      <c r="C16" s="362"/>
      <c r="D16" s="63" t="s">
        <v>439</v>
      </c>
      <c r="E16" s="272" t="s">
        <v>212</v>
      </c>
      <c r="F16" s="273" t="s">
        <v>217</v>
      </c>
      <c r="G16" s="148"/>
      <c r="H16" s="148"/>
      <c r="I16" s="148"/>
      <c r="J16" s="148"/>
      <c r="K16" s="148"/>
      <c r="L16" s="148"/>
      <c r="M16" s="148"/>
      <c r="N16" s="148"/>
    </row>
    <row r="17" spans="1:14">
      <c r="A17" s="372"/>
      <c r="B17" s="362"/>
      <c r="C17" s="362"/>
      <c r="D17" s="63" t="s">
        <v>440</v>
      </c>
      <c r="E17" s="272" t="s">
        <v>219</v>
      </c>
      <c r="F17" s="273" t="s">
        <v>220</v>
      </c>
      <c r="G17" s="148"/>
      <c r="H17" s="148"/>
      <c r="I17" s="148"/>
      <c r="J17" s="148"/>
      <c r="K17" s="148"/>
      <c r="L17" s="148"/>
      <c r="M17" s="148"/>
      <c r="N17" s="148"/>
    </row>
    <row r="18" spans="1:14">
      <c r="A18" s="372"/>
      <c r="B18" s="362"/>
      <c r="C18" s="362"/>
      <c r="D18" s="63" t="s">
        <v>221</v>
      </c>
      <c r="E18" s="272" t="s">
        <v>215</v>
      </c>
      <c r="F18" s="273" t="s">
        <v>217</v>
      </c>
      <c r="G18" s="148"/>
      <c r="H18" s="148"/>
      <c r="I18" s="148"/>
      <c r="J18" s="148"/>
      <c r="K18" s="148"/>
      <c r="L18" s="148"/>
      <c r="M18" s="148"/>
      <c r="N18" s="148"/>
    </row>
    <row r="19" spans="1:14">
      <c r="A19" s="372"/>
      <c r="B19" s="362"/>
      <c r="C19" s="362"/>
      <c r="D19" s="63" t="s">
        <v>222</v>
      </c>
      <c r="E19" s="272" t="s">
        <v>215</v>
      </c>
      <c r="F19" s="273" t="s">
        <v>217</v>
      </c>
      <c r="G19" s="148"/>
      <c r="H19" s="148"/>
      <c r="I19" s="148"/>
      <c r="J19" s="148"/>
      <c r="K19" s="148"/>
      <c r="L19" s="148"/>
      <c r="M19" s="148"/>
      <c r="N19" s="148"/>
    </row>
    <row r="20" spans="1:14">
      <c r="A20" s="372"/>
      <c r="B20" s="362"/>
      <c r="C20" s="362"/>
      <c r="D20" s="63" t="s">
        <v>223</v>
      </c>
      <c r="E20" s="272" t="s">
        <v>215</v>
      </c>
      <c r="F20" s="273" t="s">
        <v>217</v>
      </c>
      <c r="G20" s="148"/>
      <c r="H20" s="148"/>
      <c r="I20" s="148"/>
      <c r="J20" s="148"/>
      <c r="K20" s="148"/>
      <c r="L20" s="148"/>
      <c r="M20" s="148"/>
      <c r="N20" s="148"/>
    </row>
    <row r="21" spans="1:14">
      <c r="A21" s="372"/>
      <c r="B21" s="362"/>
      <c r="C21" s="362"/>
      <c r="D21" s="63" t="s">
        <v>224</v>
      </c>
      <c r="E21" s="272" t="s">
        <v>225</v>
      </c>
      <c r="F21" s="273" t="s">
        <v>217</v>
      </c>
      <c r="G21" s="148"/>
      <c r="H21" s="148"/>
      <c r="I21" s="148"/>
      <c r="J21" s="148"/>
      <c r="K21" s="148"/>
      <c r="L21" s="148"/>
      <c r="M21" s="148"/>
      <c r="N21" s="148"/>
    </row>
    <row r="22" spans="1:14">
      <c r="A22" s="372"/>
      <c r="B22" s="362"/>
      <c r="C22" s="362"/>
      <c r="D22" s="63" t="s">
        <v>226</v>
      </c>
      <c r="E22" s="272" t="s">
        <v>215</v>
      </c>
      <c r="F22" s="273" t="s">
        <v>217</v>
      </c>
      <c r="G22" s="148"/>
      <c r="H22" s="148"/>
      <c r="I22" s="148"/>
      <c r="J22" s="148"/>
      <c r="K22" s="148"/>
      <c r="L22" s="148"/>
      <c r="M22" s="148"/>
      <c r="N22" s="148"/>
    </row>
    <row r="23" spans="1:14" outlineLevel="1">
      <c r="A23" s="372"/>
      <c r="B23" s="362" t="s">
        <v>227</v>
      </c>
      <c r="C23" s="362"/>
      <c r="D23" s="63" t="s">
        <v>229</v>
      </c>
      <c r="E23" s="272" t="s">
        <v>212</v>
      </c>
      <c r="F23" s="273" t="s">
        <v>213</v>
      </c>
      <c r="G23" s="148"/>
      <c r="H23" s="148"/>
      <c r="I23" s="148"/>
      <c r="J23" s="148"/>
      <c r="K23" s="148"/>
      <c r="L23" s="148"/>
      <c r="M23" s="148"/>
      <c r="N23" s="148"/>
    </row>
    <row r="24" spans="1:14" outlineLevel="1">
      <c r="A24" s="372"/>
      <c r="B24" s="362"/>
      <c r="C24" s="362"/>
      <c r="D24" s="63" t="s">
        <v>230</v>
      </c>
      <c r="E24" s="272" t="s">
        <v>220</v>
      </c>
      <c r="F24" s="273" t="s">
        <v>213</v>
      </c>
      <c r="G24" s="148"/>
      <c r="H24" s="148"/>
      <c r="I24" s="148"/>
      <c r="J24" s="148"/>
      <c r="K24" s="148"/>
      <c r="L24" s="148"/>
      <c r="M24" s="148"/>
      <c r="N24" s="148"/>
    </row>
    <row r="25" spans="1:14" outlineLevel="1">
      <c r="A25" s="372"/>
      <c r="B25" s="362"/>
      <c r="C25" s="362"/>
      <c r="D25" s="63" t="s">
        <v>231</v>
      </c>
      <c r="E25" s="272" t="s">
        <v>225</v>
      </c>
      <c r="F25" s="273" t="s">
        <v>220</v>
      </c>
      <c r="G25" s="148"/>
      <c r="H25" s="148"/>
      <c r="I25" s="148"/>
      <c r="J25" s="148"/>
      <c r="K25" s="148"/>
      <c r="L25" s="148"/>
      <c r="M25" s="148"/>
      <c r="N25" s="148"/>
    </row>
    <row r="26" spans="1:14" ht="28.8" outlineLevel="1">
      <c r="A26" s="372"/>
      <c r="B26" s="362"/>
      <c r="C26" s="362"/>
      <c r="D26" s="63" t="s">
        <v>232</v>
      </c>
      <c r="E26" s="272" t="s">
        <v>220</v>
      </c>
      <c r="F26" s="273" t="s">
        <v>213</v>
      </c>
      <c r="G26" s="148"/>
      <c r="H26" s="148"/>
      <c r="I26" s="148"/>
      <c r="J26" s="148"/>
      <c r="K26" s="148"/>
      <c r="L26" s="148"/>
      <c r="M26" s="148"/>
      <c r="N26" s="148"/>
    </row>
    <row r="27" spans="1:14" ht="43.2" outlineLevel="1">
      <c r="A27" s="372"/>
      <c r="B27" s="362"/>
      <c r="C27" s="362"/>
      <c r="D27" s="63" t="s">
        <v>233</v>
      </c>
      <c r="E27" s="272" t="s">
        <v>220</v>
      </c>
      <c r="F27" s="273" t="s">
        <v>217</v>
      </c>
      <c r="G27" s="148"/>
      <c r="H27" s="148"/>
      <c r="I27" s="148"/>
      <c r="J27" s="148"/>
      <c r="K27" s="148"/>
      <c r="L27" s="148"/>
      <c r="M27" s="148"/>
      <c r="N27" s="148"/>
    </row>
    <row r="28" spans="1:14" outlineLevel="1">
      <c r="A28" s="372"/>
      <c r="B28" s="362"/>
      <c r="C28" s="362"/>
      <c r="D28" s="63" t="s">
        <v>234</v>
      </c>
      <c r="E28" s="272" t="s">
        <v>220</v>
      </c>
      <c r="F28" s="273" t="s">
        <v>213</v>
      </c>
      <c r="G28" s="148"/>
      <c r="H28" s="148"/>
      <c r="I28" s="148"/>
      <c r="J28" s="148"/>
      <c r="K28" s="148"/>
      <c r="L28" s="148"/>
      <c r="M28" s="148"/>
      <c r="N28" s="148"/>
    </row>
    <row r="29" spans="1:14" ht="28.8" outlineLevel="1">
      <c r="A29" s="372"/>
      <c r="B29" s="362"/>
      <c r="C29" s="362"/>
      <c r="D29" s="63" t="s">
        <v>235</v>
      </c>
      <c r="E29" s="272" t="s">
        <v>220</v>
      </c>
      <c r="F29" s="273" t="s">
        <v>213</v>
      </c>
      <c r="G29" s="148"/>
      <c r="H29" s="148"/>
      <c r="I29" s="148"/>
      <c r="J29" s="148"/>
      <c r="K29" s="148"/>
      <c r="L29" s="148"/>
      <c r="M29" s="148"/>
      <c r="N29" s="148"/>
    </row>
    <row r="30" spans="1:14" outlineLevel="1">
      <c r="A30" s="372"/>
      <c r="B30" s="362"/>
      <c r="C30" s="362"/>
      <c r="D30" s="63" t="s">
        <v>236</v>
      </c>
      <c r="E30" s="272" t="s">
        <v>220</v>
      </c>
      <c r="F30" s="273" t="s">
        <v>220</v>
      </c>
      <c r="G30" s="148"/>
      <c r="H30" s="148"/>
      <c r="I30" s="148"/>
      <c r="J30" s="148"/>
      <c r="K30" s="148"/>
      <c r="L30" s="148"/>
      <c r="M30" s="148"/>
      <c r="N30" s="148"/>
    </row>
    <row r="31" spans="1:14" outlineLevel="1">
      <c r="A31" s="372"/>
      <c r="B31" s="362"/>
      <c r="C31" s="362"/>
      <c r="D31" s="63" t="s">
        <v>237</v>
      </c>
      <c r="E31" s="272"/>
      <c r="F31" s="273"/>
      <c r="G31" s="148"/>
      <c r="H31" s="148"/>
      <c r="I31" s="148"/>
      <c r="J31" s="148"/>
      <c r="K31" s="148"/>
      <c r="L31" s="148"/>
      <c r="M31" s="148"/>
      <c r="N31" s="148"/>
    </row>
    <row r="32" spans="1:14">
      <c r="A32" s="372"/>
      <c r="B32" s="362" t="s">
        <v>154</v>
      </c>
      <c r="C32" s="362"/>
      <c r="D32" s="63" t="s">
        <v>238</v>
      </c>
      <c r="E32" s="272" t="s">
        <v>220</v>
      </c>
      <c r="F32" s="273" t="s">
        <v>239</v>
      </c>
      <c r="G32" s="148"/>
      <c r="H32" s="148"/>
      <c r="I32" s="148"/>
      <c r="J32" s="148"/>
      <c r="K32" s="148"/>
      <c r="L32" s="148"/>
      <c r="M32" s="148"/>
      <c r="N32" s="148"/>
    </row>
    <row r="33" spans="1:14">
      <c r="A33" s="372"/>
      <c r="B33" s="362"/>
      <c r="C33" s="362"/>
      <c r="D33" s="63" t="s">
        <v>240</v>
      </c>
      <c r="E33" s="272" t="s">
        <v>220</v>
      </c>
      <c r="F33" s="273" t="s">
        <v>239</v>
      </c>
      <c r="G33" s="148"/>
      <c r="H33" s="148"/>
      <c r="I33" s="148"/>
      <c r="J33" s="148"/>
      <c r="K33" s="148"/>
      <c r="L33" s="148"/>
      <c r="M33" s="148"/>
      <c r="N33" s="148"/>
    </row>
    <row r="34" spans="1:14">
      <c r="A34" s="372"/>
      <c r="B34" s="362"/>
      <c r="C34" s="362"/>
      <c r="D34" s="63" t="s">
        <v>241</v>
      </c>
      <c r="E34" s="272" t="s">
        <v>220</v>
      </c>
      <c r="F34" s="273" t="s">
        <v>239</v>
      </c>
      <c r="G34" s="148"/>
      <c r="H34" s="148"/>
      <c r="I34" s="148"/>
      <c r="J34" s="148"/>
      <c r="K34" s="148"/>
      <c r="L34" s="148"/>
      <c r="M34" s="148"/>
      <c r="N34" s="148"/>
    </row>
    <row r="35" spans="1:14" ht="43.2">
      <c r="A35" s="372" t="s">
        <v>441</v>
      </c>
      <c r="B35" s="326" t="s">
        <v>243</v>
      </c>
      <c r="C35" s="326"/>
      <c r="D35" s="250" t="s">
        <v>244</v>
      </c>
      <c r="E35" s="272"/>
      <c r="F35" s="273"/>
      <c r="G35" s="148"/>
      <c r="H35" s="148"/>
      <c r="I35" s="148"/>
      <c r="J35" s="148"/>
      <c r="K35" s="148"/>
      <c r="L35" s="148"/>
      <c r="M35" s="148"/>
      <c r="N35" s="148"/>
    </row>
    <row r="36" spans="1:14" ht="28.8" outlineLevel="1">
      <c r="A36" s="372"/>
      <c r="B36" s="326"/>
      <c r="C36" s="326"/>
      <c r="D36" s="248" t="s">
        <v>246</v>
      </c>
      <c r="E36" s="272"/>
      <c r="F36" s="273" t="s">
        <v>217</v>
      </c>
      <c r="G36" s="148"/>
      <c r="H36" s="148"/>
      <c r="I36" s="148"/>
      <c r="J36" s="148"/>
      <c r="K36" s="148"/>
      <c r="L36" s="148"/>
      <c r="M36" s="148"/>
      <c r="N36" s="148"/>
    </row>
    <row r="37" spans="1:14" outlineLevel="1">
      <c r="A37" s="372"/>
      <c r="B37" s="326"/>
      <c r="C37" s="326"/>
      <c r="D37" s="247" t="s">
        <v>247</v>
      </c>
      <c r="E37" s="272"/>
      <c r="F37" s="273" t="s">
        <v>217</v>
      </c>
      <c r="G37" s="148"/>
      <c r="H37" s="148"/>
      <c r="I37" s="148"/>
      <c r="J37" s="148"/>
      <c r="K37" s="148"/>
      <c r="L37" s="148"/>
      <c r="M37" s="148"/>
      <c r="N37" s="148"/>
    </row>
    <row r="38" spans="1:14" outlineLevel="1">
      <c r="A38" s="372"/>
      <c r="B38" s="326"/>
      <c r="C38" s="326"/>
      <c r="D38" s="248" t="s">
        <v>248</v>
      </c>
      <c r="E38" s="272"/>
      <c r="F38" s="273" t="s">
        <v>217</v>
      </c>
      <c r="G38" s="148"/>
      <c r="H38" s="148"/>
      <c r="I38" s="148"/>
      <c r="J38" s="148"/>
      <c r="K38" s="148"/>
      <c r="L38" s="148"/>
      <c r="M38" s="148"/>
      <c r="N38" s="148"/>
    </row>
    <row r="39" spans="1:14" ht="28.8" outlineLevel="1">
      <c r="A39" s="372"/>
      <c r="B39" s="326"/>
      <c r="C39" s="326"/>
      <c r="D39" s="247" t="s">
        <v>249</v>
      </c>
      <c r="E39" s="272"/>
      <c r="F39" s="273" t="s">
        <v>217</v>
      </c>
      <c r="G39" s="148"/>
      <c r="H39" s="148"/>
      <c r="I39" s="148"/>
      <c r="J39" s="148"/>
      <c r="K39" s="148"/>
      <c r="L39" s="148"/>
      <c r="M39" s="148"/>
      <c r="N39" s="148"/>
    </row>
    <row r="40" spans="1:14" ht="28.8" outlineLevel="1">
      <c r="A40" s="372"/>
      <c r="B40" s="326"/>
      <c r="C40" s="326"/>
      <c r="D40" s="248" t="s">
        <v>250</v>
      </c>
      <c r="E40" s="272"/>
      <c r="F40" s="273" t="s">
        <v>217</v>
      </c>
      <c r="G40" s="148"/>
      <c r="H40" s="148"/>
      <c r="I40" s="148"/>
      <c r="J40" s="148"/>
      <c r="K40" s="148"/>
      <c r="L40" s="148"/>
      <c r="M40" s="148"/>
      <c r="N40" s="148"/>
    </row>
    <row r="41" spans="1:14" ht="28.8" outlineLevel="1">
      <c r="A41" s="372"/>
      <c r="B41" s="326"/>
      <c r="C41" s="326"/>
      <c r="D41" s="247" t="s">
        <v>251</v>
      </c>
      <c r="E41" s="272"/>
      <c r="F41" s="273" t="s">
        <v>220</v>
      </c>
      <c r="G41" s="148"/>
      <c r="H41" s="148"/>
      <c r="I41" s="148"/>
      <c r="J41" s="148"/>
      <c r="K41" s="148"/>
      <c r="L41" s="148"/>
      <c r="M41" s="148"/>
      <c r="N41" s="148"/>
    </row>
    <row r="42" spans="1:14" outlineLevel="1">
      <c r="A42" s="372"/>
      <c r="B42" s="326"/>
      <c r="C42" s="326"/>
      <c r="D42" s="248" t="s">
        <v>252</v>
      </c>
      <c r="E42" s="272"/>
      <c r="F42" s="273" t="s">
        <v>217</v>
      </c>
      <c r="G42" s="148"/>
      <c r="H42" s="148"/>
      <c r="I42" s="148"/>
      <c r="J42" s="148"/>
      <c r="K42" s="148"/>
      <c r="L42" s="148"/>
      <c r="M42" s="148"/>
      <c r="N42" s="148"/>
    </row>
    <row r="43" spans="1:14" ht="28.8">
      <c r="A43" s="372"/>
      <c r="B43" s="326"/>
      <c r="C43" s="326"/>
      <c r="D43" s="250" t="s">
        <v>253</v>
      </c>
      <c r="E43" s="272"/>
      <c r="F43" s="273"/>
      <c r="G43" s="148"/>
      <c r="H43" s="148"/>
      <c r="I43" s="148"/>
      <c r="J43" s="148"/>
      <c r="K43" s="148"/>
      <c r="L43" s="148"/>
      <c r="M43" s="148"/>
      <c r="N43" s="148"/>
    </row>
    <row r="44" spans="1:14" outlineLevel="1">
      <c r="A44" s="372"/>
      <c r="B44" s="326"/>
      <c r="C44" s="326"/>
      <c r="D44" s="247" t="s">
        <v>254</v>
      </c>
      <c r="E44" s="272"/>
      <c r="F44" s="273" t="s">
        <v>213</v>
      </c>
      <c r="G44" s="148"/>
      <c r="H44" s="148"/>
      <c r="I44" s="148"/>
      <c r="J44" s="148"/>
      <c r="K44" s="148"/>
      <c r="L44" s="148"/>
      <c r="M44" s="148"/>
      <c r="N44" s="148"/>
    </row>
    <row r="45" spans="1:14" outlineLevel="1">
      <c r="A45" s="372"/>
      <c r="B45" s="326"/>
      <c r="C45" s="326"/>
      <c r="D45" s="248" t="s">
        <v>255</v>
      </c>
      <c r="E45" s="272"/>
      <c r="F45" s="273" t="s">
        <v>213</v>
      </c>
      <c r="G45" s="148"/>
      <c r="H45" s="148"/>
      <c r="I45" s="148"/>
      <c r="J45" s="148"/>
      <c r="K45" s="148"/>
      <c r="L45" s="148"/>
      <c r="M45" s="148"/>
      <c r="N45" s="148"/>
    </row>
    <row r="46" spans="1:14" ht="28.8" outlineLevel="1">
      <c r="A46" s="372"/>
      <c r="B46" s="326"/>
      <c r="C46" s="326"/>
      <c r="D46" s="247" t="s">
        <v>256</v>
      </c>
      <c r="E46" s="272"/>
      <c r="F46" s="273" t="s">
        <v>213</v>
      </c>
      <c r="G46" s="148"/>
      <c r="H46" s="148"/>
      <c r="I46" s="148"/>
      <c r="J46" s="148"/>
      <c r="K46" s="148"/>
      <c r="L46" s="148"/>
      <c r="M46" s="148"/>
      <c r="N46" s="148"/>
    </row>
    <row r="47" spans="1:14" ht="28.8">
      <c r="A47" s="372"/>
      <c r="B47" s="326"/>
      <c r="C47" s="326"/>
      <c r="D47" s="250" t="s">
        <v>257</v>
      </c>
      <c r="E47" s="272"/>
      <c r="F47" s="273"/>
      <c r="G47" s="148"/>
      <c r="H47" s="148"/>
      <c r="I47" s="148"/>
      <c r="J47" s="148"/>
      <c r="K47" s="148"/>
      <c r="L47" s="148"/>
      <c r="M47" s="148"/>
      <c r="N47" s="148"/>
    </row>
    <row r="48" spans="1:14" outlineLevel="1">
      <c r="A48" s="372"/>
      <c r="B48" s="326"/>
      <c r="C48" s="326"/>
      <c r="D48" s="247" t="s">
        <v>258</v>
      </c>
      <c r="E48" s="272" t="s">
        <v>212</v>
      </c>
      <c r="F48" s="273" t="s">
        <v>220</v>
      </c>
      <c r="G48" s="148"/>
      <c r="H48" s="148"/>
      <c r="I48" s="148"/>
      <c r="J48" s="148"/>
      <c r="K48" s="148"/>
      <c r="L48" s="148"/>
      <c r="M48" s="148"/>
      <c r="N48" s="148"/>
    </row>
    <row r="49" spans="1:14" ht="28.8" outlineLevel="1">
      <c r="A49" s="372"/>
      <c r="B49" s="326"/>
      <c r="C49" s="326"/>
      <c r="D49" s="248" t="s">
        <v>259</v>
      </c>
      <c r="E49" s="272"/>
      <c r="F49" s="273" t="s">
        <v>217</v>
      </c>
      <c r="G49" s="148"/>
      <c r="H49" s="148"/>
      <c r="I49" s="148"/>
      <c r="J49" s="148"/>
      <c r="K49" s="148"/>
      <c r="L49" s="148"/>
      <c r="M49" s="148"/>
      <c r="N49" s="148"/>
    </row>
    <row r="50" spans="1:14" ht="28.8" outlineLevel="1">
      <c r="A50" s="372"/>
      <c r="B50" s="326"/>
      <c r="C50" s="326"/>
      <c r="D50" s="247" t="s">
        <v>260</v>
      </c>
      <c r="E50" s="272"/>
      <c r="F50" s="273" t="s">
        <v>220</v>
      </c>
      <c r="G50" s="148"/>
      <c r="H50" s="148"/>
      <c r="I50" s="148"/>
      <c r="J50" s="148"/>
      <c r="K50" s="148"/>
      <c r="L50" s="148"/>
      <c r="M50" s="148"/>
      <c r="N50" s="148"/>
    </row>
    <row r="51" spans="1:14" ht="43.2" outlineLevel="1">
      <c r="A51" s="372"/>
      <c r="B51" s="326"/>
      <c r="C51" s="326"/>
      <c r="D51" s="248" t="s">
        <v>261</v>
      </c>
      <c r="E51" s="272"/>
      <c r="F51" s="273" t="s">
        <v>220</v>
      </c>
      <c r="G51" s="148"/>
      <c r="H51" s="148"/>
      <c r="I51" s="148"/>
      <c r="J51" s="148"/>
      <c r="K51" s="148"/>
      <c r="L51" s="148"/>
      <c r="M51" s="148"/>
      <c r="N51" s="148"/>
    </row>
    <row r="52" spans="1:14" outlineLevel="1">
      <c r="A52" s="372"/>
      <c r="B52" s="326"/>
      <c r="C52" s="326"/>
      <c r="D52" s="247" t="s">
        <v>262</v>
      </c>
      <c r="E52" s="272"/>
      <c r="F52" s="273" t="s">
        <v>220</v>
      </c>
      <c r="G52" s="148"/>
      <c r="H52" s="148"/>
      <c r="I52" s="148"/>
      <c r="J52" s="148"/>
      <c r="K52" s="148"/>
      <c r="L52" s="148"/>
      <c r="M52" s="148"/>
      <c r="N52" s="148"/>
    </row>
    <row r="53" spans="1:14" ht="28.8" outlineLevel="1">
      <c r="A53" s="372"/>
      <c r="B53" s="326"/>
      <c r="C53" s="326"/>
      <c r="D53" s="248" t="s">
        <v>263</v>
      </c>
      <c r="E53" s="272"/>
      <c r="F53" s="273" t="s">
        <v>220</v>
      </c>
      <c r="G53" s="148"/>
      <c r="H53" s="148"/>
      <c r="I53" s="148"/>
      <c r="J53" s="148"/>
      <c r="K53" s="148"/>
      <c r="L53" s="148"/>
      <c r="M53" s="148"/>
      <c r="N53" s="148"/>
    </row>
    <row r="54" spans="1:14" ht="28.8" outlineLevel="1">
      <c r="A54" s="372"/>
      <c r="B54" s="326"/>
      <c r="C54" s="326"/>
      <c r="D54" s="247" t="s">
        <v>264</v>
      </c>
      <c r="E54" s="272"/>
      <c r="F54" s="273" t="s">
        <v>220</v>
      </c>
      <c r="G54" s="148"/>
      <c r="H54" s="148"/>
      <c r="I54" s="148"/>
      <c r="J54" s="148"/>
      <c r="K54" s="148"/>
      <c r="L54" s="148"/>
      <c r="M54" s="148"/>
      <c r="N54" s="148"/>
    </row>
    <row r="55" spans="1:14" ht="28.8" outlineLevel="1">
      <c r="A55" s="372"/>
      <c r="B55" s="326"/>
      <c r="C55" s="326"/>
      <c r="D55" s="248" t="s">
        <v>74</v>
      </c>
      <c r="E55" s="272"/>
      <c r="F55" s="273" t="s">
        <v>220</v>
      </c>
      <c r="G55" s="148"/>
      <c r="H55" s="148"/>
      <c r="I55" s="148"/>
      <c r="J55" s="148"/>
      <c r="K55" s="148"/>
      <c r="L55" s="148"/>
      <c r="M55" s="148"/>
      <c r="N55" s="148"/>
    </row>
    <row r="56" spans="1:14" ht="28.8" outlineLevel="1">
      <c r="A56" s="372"/>
      <c r="B56" s="326"/>
      <c r="C56" s="326"/>
      <c r="D56" s="247" t="s">
        <v>265</v>
      </c>
      <c r="E56" s="272"/>
      <c r="F56" s="273" t="s">
        <v>220</v>
      </c>
      <c r="G56" s="148"/>
      <c r="H56" s="148"/>
      <c r="I56" s="148"/>
      <c r="J56" s="148"/>
      <c r="K56" s="148"/>
      <c r="L56" s="148"/>
      <c r="M56" s="148"/>
      <c r="N56" s="148"/>
    </row>
    <row r="57" spans="1:14" ht="28.8" outlineLevel="1">
      <c r="A57" s="372"/>
      <c r="B57" s="326"/>
      <c r="C57" s="326"/>
      <c r="D57" s="248" t="s">
        <v>266</v>
      </c>
      <c r="E57" s="272"/>
      <c r="F57" s="273" t="s">
        <v>220</v>
      </c>
      <c r="G57" s="148"/>
      <c r="H57" s="148"/>
      <c r="I57" s="148"/>
      <c r="J57" s="148"/>
      <c r="K57" s="148"/>
      <c r="L57" s="148"/>
      <c r="M57" s="148"/>
      <c r="N57" s="148"/>
    </row>
    <row r="58" spans="1:14" ht="28.8" outlineLevel="1">
      <c r="A58" s="372"/>
      <c r="B58" s="326"/>
      <c r="C58" s="326"/>
      <c r="D58" s="247" t="s">
        <v>267</v>
      </c>
      <c r="E58" s="272"/>
      <c r="F58" s="273" t="s">
        <v>220</v>
      </c>
      <c r="G58" s="148"/>
      <c r="H58" s="148"/>
      <c r="I58" s="148"/>
      <c r="J58" s="148"/>
      <c r="K58" s="148"/>
      <c r="L58" s="148"/>
      <c r="M58" s="148"/>
      <c r="N58" s="148"/>
    </row>
    <row r="59" spans="1:14" ht="28.8" outlineLevel="1">
      <c r="A59" s="372"/>
      <c r="B59" s="326"/>
      <c r="C59" s="326"/>
      <c r="D59" s="248" t="s">
        <v>268</v>
      </c>
      <c r="E59" s="272"/>
      <c r="F59" s="273" t="s">
        <v>220</v>
      </c>
      <c r="G59" s="148"/>
      <c r="H59" s="148"/>
      <c r="I59" s="148"/>
      <c r="J59" s="148"/>
      <c r="K59" s="148"/>
      <c r="L59" s="148"/>
      <c r="M59" s="148"/>
      <c r="N59" s="148"/>
    </row>
    <row r="60" spans="1:14" ht="28.8" outlineLevel="1">
      <c r="A60" s="372"/>
      <c r="B60" s="326"/>
      <c r="C60" s="326"/>
      <c r="D60" s="247" t="s">
        <v>269</v>
      </c>
      <c r="E60" s="272"/>
      <c r="F60" s="273" t="s">
        <v>220</v>
      </c>
      <c r="G60" s="148"/>
      <c r="H60" s="148"/>
      <c r="I60" s="148"/>
      <c r="J60" s="148"/>
      <c r="K60" s="148"/>
      <c r="L60" s="148"/>
      <c r="M60" s="148"/>
      <c r="N60" s="148"/>
    </row>
    <row r="61" spans="1:14" ht="28.8" outlineLevel="1">
      <c r="A61" s="372"/>
      <c r="B61" s="326"/>
      <c r="C61" s="326"/>
      <c r="D61" s="248" t="s">
        <v>270</v>
      </c>
      <c r="E61" s="272"/>
      <c r="F61" s="273" t="s">
        <v>220</v>
      </c>
      <c r="G61" s="148"/>
      <c r="H61" s="148"/>
      <c r="I61" s="148"/>
      <c r="J61" s="148"/>
      <c r="K61" s="148"/>
      <c r="L61" s="148"/>
      <c r="M61" s="148"/>
      <c r="N61" s="148"/>
    </row>
    <row r="62" spans="1:14" ht="28.8" outlineLevel="1">
      <c r="A62" s="372"/>
      <c r="B62" s="326"/>
      <c r="C62" s="326"/>
      <c r="D62" s="247" t="s">
        <v>271</v>
      </c>
      <c r="E62" s="272"/>
      <c r="F62" s="273" t="s">
        <v>220</v>
      </c>
      <c r="G62" s="148"/>
      <c r="H62" s="148"/>
      <c r="I62" s="148"/>
      <c r="J62" s="148"/>
      <c r="K62" s="148"/>
      <c r="L62" s="148"/>
      <c r="M62" s="148"/>
      <c r="N62" s="148"/>
    </row>
    <row r="63" spans="1:14" ht="28.8" outlineLevel="1">
      <c r="A63" s="372"/>
      <c r="B63" s="326"/>
      <c r="C63" s="326"/>
      <c r="D63" s="248" t="s">
        <v>272</v>
      </c>
      <c r="E63" s="272"/>
      <c r="F63" s="273" t="s">
        <v>220</v>
      </c>
      <c r="G63" s="148"/>
      <c r="H63" s="148"/>
      <c r="I63" s="148"/>
      <c r="J63" s="148"/>
      <c r="K63" s="148"/>
      <c r="L63" s="148"/>
      <c r="M63" s="148"/>
      <c r="N63" s="148"/>
    </row>
    <row r="64" spans="1:14" ht="43.2" outlineLevel="1">
      <c r="A64" s="372"/>
      <c r="B64" s="326"/>
      <c r="C64" s="326"/>
      <c r="D64" s="247" t="s">
        <v>273</v>
      </c>
      <c r="E64" s="272"/>
      <c r="F64" s="273" t="s">
        <v>220</v>
      </c>
      <c r="G64" s="148"/>
      <c r="H64" s="148"/>
      <c r="I64" s="148"/>
      <c r="J64" s="148"/>
      <c r="K64" s="148"/>
      <c r="L64" s="148"/>
      <c r="M64" s="148"/>
      <c r="N64" s="148"/>
    </row>
    <row r="65" spans="1:14" ht="43.2" outlineLevel="1">
      <c r="A65" s="372"/>
      <c r="B65" s="326"/>
      <c r="C65" s="326"/>
      <c r="D65" s="248" t="s">
        <v>274</v>
      </c>
      <c r="E65" s="272"/>
      <c r="F65" s="273" t="s">
        <v>220</v>
      </c>
      <c r="G65" s="148"/>
      <c r="H65" s="148"/>
      <c r="I65" s="148"/>
      <c r="J65" s="148"/>
      <c r="K65" s="148"/>
      <c r="L65" s="148"/>
      <c r="M65" s="148"/>
      <c r="N65" s="148"/>
    </row>
    <row r="66" spans="1:14" ht="43.2" outlineLevel="1">
      <c r="A66" s="372"/>
      <c r="B66" s="326"/>
      <c r="C66" s="326"/>
      <c r="D66" s="247" t="s">
        <v>275</v>
      </c>
      <c r="E66" s="272"/>
      <c r="F66" s="273" t="s">
        <v>220</v>
      </c>
      <c r="G66" s="148"/>
      <c r="H66" s="148"/>
      <c r="I66" s="148"/>
      <c r="J66" s="148"/>
      <c r="K66" s="148"/>
      <c r="L66" s="148"/>
      <c r="M66" s="148"/>
      <c r="N66" s="148"/>
    </row>
    <row r="67" spans="1:14" ht="43.2" outlineLevel="1">
      <c r="A67" s="372"/>
      <c r="B67" s="326"/>
      <c r="C67" s="326"/>
      <c r="D67" s="248" t="s">
        <v>276</v>
      </c>
      <c r="E67" s="272"/>
      <c r="F67" s="273" t="s">
        <v>220</v>
      </c>
      <c r="G67" s="148"/>
      <c r="H67" s="148"/>
      <c r="I67" s="148"/>
      <c r="J67" s="148"/>
      <c r="K67" s="148"/>
      <c r="L67" s="148"/>
      <c r="M67" s="148"/>
      <c r="N67" s="148"/>
    </row>
    <row r="68" spans="1:14" ht="28.8" outlineLevel="1">
      <c r="A68" s="372"/>
      <c r="B68" s="326"/>
      <c r="C68" s="326"/>
      <c r="D68" s="247" t="s">
        <v>277</v>
      </c>
      <c r="E68" s="272"/>
      <c r="F68" s="273" t="s">
        <v>220</v>
      </c>
      <c r="G68" s="148"/>
      <c r="H68" s="148"/>
      <c r="I68" s="148"/>
      <c r="J68" s="148"/>
      <c r="K68" s="148"/>
      <c r="L68" s="148"/>
      <c r="M68" s="148"/>
      <c r="N68" s="148"/>
    </row>
    <row r="69" spans="1:14" outlineLevel="1">
      <c r="A69" s="372"/>
      <c r="B69" s="326"/>
      <c r="C69" s="326"/>
      <c r="D69" s="248" t="s">
        <v>278</v>
      </c>
      <c r="E69" s="272"/>
      <c r="F69" s="273" t="s">
        <v>220</v>
      </c>
      <c r="G69" s="148"/>
      <c r="H69" s="148"/>
      <c r="I69" s="148"/>
      <c r="J69" s="148"/>
      <c r="K69" s="148"/>
      <c r="L69" s="148"/>
      <c r="M69" s="148"/>
      <c r="N69" s="148"/>
    </row>
    <row r="70" spans="1:14">
      <c r="A70" s="372"/>
      <c r="B70" s="326"/>
      <c r="C70" s="326"/>
      <c r="D70" s="250" t="s">
        <v>279</v>
      </c>
      <c r="E70" s="272"/>
      <c r="F70" s="273"/>
      <c r="G70" s="148"/>
      <c r="H70" s="148"/>
      <c r="I70" s="148"/>
      <c r="J70" s="148"/>
      <c r="K70" s="148"/>
      <c r="L70" s="148"/>
      <c r="M70" s="148"/>
      <c r="N70" s="148"/>
    </row>
    <row r="71" spans="1:14" ht="28.8" outlineLevel="1">
      <c r="A71" s="372"/>
      <c r="B71" s="326"/>
      <c r="C71" s="326"/>
      <c r="D71" s="247" t="s">
        <v>280</v>
      </c>
      <c r="E71" s="272"/>
      <c r="F71" s="273" t="s">
        <v>217</v>
      </c>
      <c r="G71" s="148"/>
      <c r="H71" s="148"/>
      <c r="I71" s="148"/>
      <c r="J71" s="148"/>
      <c r="K71" s="148"/>
      <c r="L71" s="148"/>
      <c r="M71" s="148"/>
      <c r="N71" s="148"/>
    </row>
    <row r="72" spans="1:14" ht="28.8" outlineLevel="1">
      <c r="A72" s="372"/>
      <c r="B72" s="326"/>
      <c r="C72" s="326"/>
      <c r="D72" s="248" t="s">
        <v>281</v>
      </c>
      <c r="E72" s="272"/>
      <c r="F72" s="273" t="s">
        <v>217</v>
      </c>
      <c r="G72" s="148"/>
      <c r="H72" s="148"/>
      <c r="I72" s="148"/>
      <c r="J72" s="148"/>
      <c r="K72" s="148"/>
      <c r="L72" s="148"/>
      <c r="M72" s="148"/>
      <c r="N72" s="148"/>
    </row>
    <row r="73" spans="1:14" ht="28.8" outlineLevel="1">
      <c r="A73" s="372"/>
      <c r="B73" s="326"/>
      <c r="C73" s="326"/>
      <c r="D73" s="247" t="s">
        <v>282</v>
      </c>
      <c r="E73" s="272"/>
      <c r="F73" s="273" t="s">
        <v>217</v>
      </c>
      <c r="G73" s="148"/>
      <c r="H73" s="148"/>
      <c r="I73" s="148"/>
      <c r="J73" s="148"/>
      <c r="K73" s="148"/>
      <c r="L73" s="148"/>
      <c r="M73" s="148"/>
      <c r="N73" s="148"/>
    </row>
    <row r="74" spans="1:14" ht="28.8">
      <c r="A74" s="372"/>
      <c r="B74" s="326"/>
      <c r="C74" s="326"/>
      <c r="D74" s="250" t="s">
        <v>283</v>
      </c>
      <c r="E74" s="272"/>
      <c r="F74" s="273"/>
      <c r="G74" s="148"/>
      <c r="H74" s="148"/>
      <c r="I74" s="148"/>
      <c r="J74" s="148"/>
      <c r="K74" s="148"/>
      <c r="L74" s="148"/>
      <c r="M74" s="148"/>
      <c r="N74" s="148"/>
    </row>
    <row r="75" spans="1:14" ht="28.8" outlineLevel="1">
      <c r="A75" s="372"/>
      <c r="B75" s="326"/>
      <c r="C75" s="326"/>
      <c r="D75" s="247" t="s">
        <v>184</v>
      </c>
      <c r="E75" s="272"/>
      <c r="F75" s="273" t="s">
        <v>217</v>
      </c>
      <c r="G75" s="148"/>
      <c r="H75" s="148"/>
      <c r="I75" s="148"/>
      <c r="J75" s="148"/>
      <c r="K75" s="148"/>
      <c r="L75" s="148"/>
      <c r="M75" s="148"/>
      <c r="N75" s="148"/>
    </row>
    <row r="76" spans="1:14" outlineLevel="1">
      <c r="A76" s="372"/>
      <c r="B76" s="326"/>
      <c r="C76" s="326"/>
      <c r="D76" s="248" t="s">
        <v>284</v>
      </c>
      <c r="E76" s="272"/>
      <c r="F76" s="273" t="s">
        <v>217</v>
      </c>
      <c r="G76" s="148"/>
      <c r="H76" s="148"/>
      <c r="I76" s="148"/>
      <c r="J76" s="148"/>
      <c r="K76" s="148"/>
      <c r="L76" s="148"/>
      <c r="M76" s="148"/>
      <c r="N76" s="148"/>
    </row>
    <row r="77" spans="1:14">
      <c r="A77" s="372"/>
      <c r="B77" s="326"/>
      <c r="C77" s="326"/>
      <c r="D77" s="250" t="s">
        <v>285</v>
      </c>
      <c r="E77" s="272"/>
      <c r="F77" s="273"/>
      <c r="G77" s="148"/>
      <c r="H77" s="148"/>
      <c r="I77" s="148"/>
      <c r="J77" s="148"/>
      <c r="K77" s="148"/>
      <c r="L77" s="148"/>
      <c r="M77" s="148"/>
      <c r="N77" s="148"/>
    </row>
    <row r="78" spans="1:14" outlineLevel="1">
      <c r="A78" s="372"/>
      <c r="B78" s="326"/>
      <c r="C78" s="326"/>
      <c r="D78" s="247" t="s">
        <v>286</v>
      </c>
      <c r="E78" s="272"/>
      <c r="F78" s="273" t="s">
        <v>217</v>
      </c>
      <c r="G78" s="148"/>
      <c r="H78" s="148"/>
      <c r="I78" s="148"/>
      <c r="J78" s="148"/>
      <c r="K78" s="148"/>
      <c r="L78" s="148"/>
      <c r="M78" s="148"/>
      <c r="N78" s="148"/>
    </row>
    <row r="79" spans="1:14" ht="28.8" outlineLevel="1">
      <c r="A79" s="372"/>
      <c r="B79" s="326"/>
      <c r="C79" s="326"/>
      <c r="D79" s="248" t="s">
        <v>287</v>
      </c>
      <c r="E79" s="272"/>
      <c r="F79" s="273" t="s">
        <v>217</v>
      </c>
      <c r="G79" s="148"/>
      <c r="H79" s="148"/>
      <c r="I79" s="148"/>
      <c r="J79" s="148"/>
      <c r="K79" s="148"/>
      <c r="L79" s="148"/>
      <c r="M79" s="148"/>
      <c r="N79" s="148"/>
    </row>
    <row r="80" spans="1:14" ht="28.8" outlineLevel="1">
      <c r="A80" s="372"/>
      <c r="B80" s="326"/>
      <c r="C80" s="326"/>
      <c r="D80" s="247" t="s">
        <v>288</v>
      </c>
      <c r="E80" s="272"/>
      <c r="F80" s="273" t="s">
        <v>217</v>
      </c>
      <c r="G80" s="148"/>
      <c r="H80" s="148"/>
      <c r="I80" s="148"/>
      <c r="J80" s="148"/>
      <c r="K80" s="148"/>
      <c r="L80" s="148"/>
      <c r="M80" s="148"/>
      <c r="N80" s="148"/>
    </row>
    <row r="81" spans="1:14" ht="28.8">
      <c r="A81" s="372"/>
      <c r="B81" s="326"/>
      <c r="C81" s="326"/>
      <c r="D81" s="250" t="s">
        <v>289</v>
      </c>
      <c r="E81" s="272"/>
      <c r="F81" s="273"/>
      <c r="G81" s="148"/>
      <c r="H81" s="148"/>
      <c r="I81" s="148"/>
      <c r="J81" s="148"/>
      <c r="K81" s="148"/>
      <c r="L81" s="148"/>
      <c r="M81" s="148"/>
      <c r="N81" s="148"/>
    </row>
    <row r="82" spans="1:14" ht="28.8" outlineLevel="1">
      <c r="A82" s="372"/>
      <c r="B82" s="326"/>
      <c r="C82" s="326"/>
      <c r="D82" s="247" t="s">
        <v>290</v>
      </c>
      <c r="E82" s="272"/>
      <c r="F82" s="273" t="s">
        <v>213</v>
      </c>
      <c r="G82" s="148"/>
      <c r="H82" s="148"/>
      <c r="I82" s="148"/>
      <c r="J82" s="148"/>
      <c r="K82" s="148"/>
      <c r="L82" s="148"/>
      <c r="M82" s="148"/>
      <c r="N82" s="148"/>
    </row>
    <row r="83" spans="1:14" ht="28.8">
      <c r="A83" s="372"/>
      <c r="B83" s="326"/>
      <c r="C83" s="326"/>
      <c r="D83" s="250" t="s">
        <v>291</v>
      </c>
      <c r="E83" s="272"/>
      <c r="F83" s="273"/>
      <c r="G83" s="148"/>
      <c r="H83" s="148"/>
      <c r="I83" s="148"/>
      <c r="J83" s="148"/>
      <c r="K83" s="148"/>
      <c r="L83" s="148"/>
      <c r="M83" s="148"/>
      <c r="N83" s="148"/>
    </row>
    <row r="84" spans="1:14" ht="28.8" outlineLevel="1">
      <c r="A84" s="372"/>
      <c r="B84" s="326"/>
      <c r="C84" s="326"/>
      <c r="D84" s="247" t="s">
        <v>292</v>
      </c>
      <c r="E84" s="272"/>
      <c r="F84" s="273" t="s">
        <v>217</v>
      </c>
      <c r="G84" s="148"/>
      <c r="H84" s="148"/>
      <c r="I84" s="148"/>
      <c r="J84" s="148"/>
      <c r="K84" s="148"/>
      <c r="L84" s="148"/>
      <c r="M84" s="148"/>
      <c r="N84" s="148"/>
    </row>
    <row r="85" spans="1:14" ht="28.8" outlineLevel="1">
      <c r="A85" s="372"/>
      <c r="B85" s="326"/>
      <c r="C85" s="326"/>
      <c r="D85" s="248" t="s">
        <v>293</v>
      </c>
      <c r="E85" s="272"/>
      <c r="F85" s="273" t="s">
        <v>220</v>
      </c>
      <c r="G85" s="148"/>
      <c r="H85" s="148"/>
      <c r="I85" s="148"/>
      <c r="J85" s="148"/>
      <c r="K85" s="148"/>
      <c r="L85" s="148"/>
      <c r="M85" s="148"/>
      <c r="N85" s="148"/>
    </row>
    <row r="86" spans="1:14" ht="28.8" outlineLevel="1">
      <c r="A86" s="372"/>
      <c r="B86" s="326"/>
      <c r="C86" s="326"/>
      <c r="D86" s="247" t="s">
        <v>294</v>
      </c>
      <c r="E86" s="272"/>
      <c r="F86" s="273" t="s">
        <v>220</v>
      </c>
      <c r="G86" s="148"/>
      <c r="H86" s="148"/>
      <c r="I86" s="148"/>
      <c r="J86" s="148"/>
      <c r="K86" s="148"/>
      <c r="L86" s="148"/>
      <c r="M86" s="148"/>
      <c r="N86" s="148"/>
    </row>
    <row r="87" spans="1:14" ht="43.2" outlineLevel="1">
      <c r="A87" s="372"/>
      <c r="B87" s="326"/>
      <c r="C87" s="326"/>
      <c r="D87" s="248" t="s">
        <v>295</v>
      </c>
      <c r="E87" s="272"/>
      <c r="F87" s="273" t="s">
        <v>220</v>
      </c>
      <c r="G87" s="148"/>
      <c r="H87" s="148"/>
      <c r="I87" s="148"/>
      <c r="J87" s="148"/>
      <c r="K87" s="148"/>
      <c r="L87" s="148"/>
      <c r="M87" s="148"/>
      <c r="N87" s="148"/>
    </row>
    <row r="88" spans="1:14" ht="28.8" outlineLevel="1">
      <c r="A88" s="372"/>
      <c r="B88" s="326"/>
      <c r="C88" s="326"/>
      <c r="D88" s="247" t="s">
        <v>296</v>
      </c>
      <c r="E88" s="272"/>
      <c r="F88" s="273" t="s">
        <v>217</v>
      </c>
      <c r="G88" s="148"/>
      <c r="H88" s="148"/>
      <c r="I88" s="148"/>
      <c r="J88" s="148"/>
      <c r="K88" s="148"/>
      <c r="L88" s="148"/>
      <c r="M88" s="148"/>
      <c r="N88" s="148"/>
    </row>
    <row r="89" spans="1:14" ht="28.8" outlineLevel="1">
      <c r="A89" s="372"/>
      <c r="B89" s="326"/>
      <c r="C89" s="326"/>
      <c r="D89" s="248" t="s">
        <v>297</v>
      </c>
      <c r="E89" s="272"/>
      <c r="F89" s="273" t="s">
        <v>220</v>
      </c>
      <c r="G89" s="148"/>
      <c r="H89" s="148"/>
      <c r="I89" s="148"/>
      <c r="J89" s="148"/>
      <c r="K89" s="148"/>
      <c r="L89" s="148"/>
      <c r="M89" s="148"/>
      <c r="N89" s="148"/>
    </row>
    <row r="90" spans="1:14" ht="28.8" outlineLevel="1">
      <c r="A90" s="372"/>
      <c r="B90" s="326"/>
      <c r="C90" s="326"/>
      <c r="D90" s="247" t="s">
        <v>109</v>
      </c>
      <c r="E90" s="272"/>
      <c r="F90" s="273" t="s">
        <v>220</v>
      </c>
      <c r="G90" s="148"/>
      <c r="H90" s="148"/>
      <c r="I90" s="148"/>
      <c r="J90" s="148"/>
      <c r="K90" s="148"/>
      <c r="L90" s="148"/>
      <c r="M90" s="148"/>
      <c r="N90" s="148"/>
    </row>
    <row r="91" spans="1:14" ht="28.8">
      <c r="A91" s="372"/>
      <c r="B91" s="326"/>
      <c r="C91" s="326"/>
      <c r="D91" s="250" t="s">
        <v>298</v>
      </c>
      <c r="E91" s="272"/>
      <c r="F91" s="273"/>
      <c r="G91" s="148"/>
      <c r="H91" s="148"/>
      <c r="I91" s="148"/>
      <c r="J91" s="148"/>
      <c r="K91" s="148"/>
      <c r="L91" s="148"/>
      <c r="M91" s="148"/>
      <c r="N91" s="148"/>
    </row>
    <row r="92" spans="1:14" ht="28.8" outlineLevel="1">
      <c r="A92" s="372"/>
      <c r="B92" s="326"/>
      <c r="C92" s="326"/>
      <c r="D92" s="247" t="s">
        <v>299</v>
      </c>
      <c r="E92" s="272"/>
      <c r="F92" s="273" t="s">
        <v>220</v>
      </c>
      <c r="G92" s="148"/>
      <c r="H92" s="148"/>
      <c r="I92" s="148"/>
      <c r="J92" s="148"/>
      <c r="K92" s="148"/>
      <c r="L92" s="148"/>
      <c r="M92" s="148"/>
      <c r="N92" s="148"/>
    </row>
    <row r="93" spans="1:14">
      <c r="A93" s="372"/>
      <c r="B93" s="326"/>
      <c r="C93" s="326"/>
      <c r="D93" s="250" t="s">
        <v>300</v>
      </c>
      <c r="E93" s="272"/>
      <c r="F93" s="273"/>
      <c r="G93" s="148"/>
      <c r="H93" s="148"/>
      <c r="I93" s="148"/>
      <c r="J93" s="148"/>
      <c r="K93" s="148"/>
      <c r="L93" s="148"/>
      <c r="M93" s="148"/>
      <c r="N93" s="148"/>
    </row>
    <row r="94" spans="1:14" ht="28.8" outlineLevel="1">
      <c r="A94" s="372"/>
      <c r="B94" s="326"/>
      <c r="C94" s="326"/>
      <c r="D94" s="247" t="s">
        <v>301</v>
      </c>
      <c r="E94" s="272"/>
      <c r="F94" s="273" t="s">
        <v>217</v>
      </c>
      <c r="G94" s="148"/>
      <c r="H94" s="148"/>
      <c r="I94" s="148"/>
      <c r="J94" s="148"/>
      <c r="K94" s="148"/>
      <c r="L94" s="148"/>
      <c r="M94" s="148"/>
      <c r="N94" s="148"/>
    </row>
    <row r="95" spans="1:14">
      <c r="A95" s="372"/>
      <c r="B95" s="326"/>
      <c r="C95" s="326"/>
      <c r="D95" s="250" t="s">
        <v>442</v>
      </c>
      <c r="E95" s="272"/>
      <c r="F95" s="273"/>
      <c r="G95" s="148"/>
      <c r="H95" s="148"/>
      <c r="I95" s="148"/>
      <c r="J95" s="148"/>
      <c r="K95" s="148"/>
      <c r="L95" s="148"/>
      <c r="M95" s="148"/>
      <c r="N95" s="148"/>
    </row>
    <row r="96" spans="1:14" outlineLevel="1">
      <c r="A96" s="372"/>
      <c r="B96" s="326"/>
      <c r="C96" s="326"/>
      <c r="D96" s="251" t="s">
        <v>302</v>
      </c>
      <c r="E96" s="272"/>
      <c r="F96" s="273"/>
      <c r="G96" s="148"/>
      <c r="H96" s="148"/>
      <c r="I96" s="148"/>
      <c r="J96" s="148"/>
      <c r="K96" s="148"/>
      <c r="L96" s="148"/>
      <c r="M96" s="148"/>
      <c r="N96" s="148"/>
    </row>
    <row r="97" spans="1:14" ht="28.8" outlineLevel="1">
      <c r="A97" s="372"/>
      <c r="B97" s="326"/>
      <c r="C97" s="326"/>
      <c r="D97" s="104" t="s">
        <v>246</v>
      </c>
      <c r="E97" s="272"/>
      <c r="F97" s="273"/>
      <c r="G97" s="148"/>
      <c r="H97" s="148"/>
      <c r="I97" s="148"/>
      <c r="J97" s="148"/>
      <c r="K97" s="148"/>
      <c r="L97" s="148"/>
      <c r="M97" s="148"/>
      <c r="N97" s="148"/>
    </row>
    <row r="98" spans="1:14">
      <c r="A98" s="372"/>
      <c r="B98" s="326" t="s">
        <v>303</v>
      </c>
      <c r="C98" s="326"/>
      <c r="D98" s="249" t="s">
        <v>304</v>
      </c>
      <c r="E98" s="272"/>
      <c r="F98" s="273"/>
      <c r="G98" s="148"/>
      <c r="H98" s="148"/>
      <c r="I98" s="148"/>
      <c r="J98" s="148"/>
      <c r="K98" s="148"/>
      <c r="L98" s="148"/>
      <c r="M98" s="148"/>
      <c r="N98" s="148"/>
    </row>
    <row r="99" spans="1:14">
      <c r="A99" s="372"/>
      <c r="B99" s="326"/>
      <c r="C99" s="326"/>
      <c r="D99" s="249" t="s">
        <v>305</v>
      </c>
      <c r="E99" s="272"/>
      <c r="F99" s="273"/>
      <c r="G99" s="148"/>
      <c r="H99" s="148"/>
      <c r="I99" s="148"/>
      <c r="J99" s="148"/>
      <c r="K99" s="148"/>
      <c r="L99" s="148"/>
      <c r="M99" s="148"/>
      <c r="N99" s="148"/>
    </row>
    <row r="100" spans="1:14">
      <c r="A100" s="372"/>
      <c r="B100" s="326"/>
      <c r="C100" s="326"/>
      <c r="D100" s="249" t="s">
        <v>306</v>
      </c>
      <c r="E100" s="272"/>
      <c r="F100" s="273"/>
      <c r="G100" s="148"/>
      <c r="H100" s="148"/>
      <c r="I100" s="148"/>
      <c r="J100" s="148"/>
      <c r="K100" s="148"/>
      <c r="L100" s="148"/>
      <c r="M100" s="148"/>
      <c r="N100" s="148"/>
    </row>
    <row r="101" spans="1:14">
      <c r="A101" s="372"/>
      <c r="B101" s="326"/>
      <c r="C101" s="326"/>
      <c r="D101" s="249" t="s">
        <v>307</v>
      </c>
      <c r="E101" s="272"/>
      <c r="F101" s="273"/>
      <c r="G101" s="148"/>
      <c r="H101" s="148"/>
      <c r="I101" s="148"/>
      <c r="J101" s="148"/>
      <c r="K101" s="148"/>
      <c r="L101" s="148"/>
      <c r="M101" s="148"/>
      <c r="N101" s="148"/>
    </row>
    <row r="102" spans="1:14">
      <c r="A102" s="372"/>
      <c r="B102" s="326"/>
      <c r="C102" s="326"/>
      <c r="D102" s="249" t="s">
        <v>308</v>
      </c>
      <c r="E102" s="272"/>
      <c r="F102" s="273"/>
      <c r="G102" s="148"/>
      <c r="H102" s="148"/>
      <c r="I102" s="148"/>
      <c r="J102" s="148"/>
      <c r="K102" s="148"/>
      <c r="L102" s="148"/>
      <c r="M102" s="148"/>
      <c r="N102" s="148"/>
    </row>
    <row r="103" spans="1:14">
      <c r="A103" s="372"/>
      <c r="B103" s="326"/>
      <c r="C103" s="326"/>
      <c r="D103" s="249" t="s">
        <v>309</v>
      </c>
      <c r="E103" s="272"/>
      <c r="F103" s="273"/>
      <c r="G103" s="148"/>
      <c r="H103" s="148"/>
      <c r="I103" s="148"/>
      <c r="J103" s="148"/>
      <c r="K103" s="148"/>
      <c r="L103" s="148"/>
      <c r="M103" s="148"/>
      <c r="N103" s="148"/>
    </row>
    <row r="104" spans="1:14">
      <c r="A104" s="372"/>
      <c r="B104" s="326"/>
      <c r="C104" s="326"/>
      <c r="D104" s="249" t="s">
        <v>310</v>
      </c>
      <c r="E104" s="272"/>
      <c r="F104" s="273"/>
      <c r="G104" s="148"/>
      <c r="H104" s="148"/>
      <c r="I104" s="148"/>
      <c r="J104" s="148"/>
      <c r="K104" s="148"/>
      <c r="L104" s="148"/>
      <c r="M104" s="148"/>
      <c r="N104" s="148"/>
    </row>
    <row r="105" spans="1:14">
      <c r="A105" s="372"/>
      <c r="B105" s="326"/>
      <c r="C105" s="326"/>
      <c r="D105" s="249" t="s">
        <v>311</v>
      </c>
      <c r="E105" s="272"/>
      <c r="F105" s="273"/>
      <c r="G105" s="148"/>
      <c r="H105" s="148"/>
      <c r="I105" s="148"/>
      <c r="J105" s="148"/>
      <c r="K105" s="148"/>
      <c r="L105" s="148"/>
      <c r="M105" s="148"/>
      <c r="N105" s="148"/>
    </row>
    <row r="106" spans="1:14">
      <c r="A106" s="372"/>
      <c r="B106" s="326"/>
      <c r="C106" s="326"/>
      <c r="D106" s="249" t="s">
        <v>312</v>
      </c>
      <c r="E106" s="272"/>
      <c r="F106" s="273"/>
      <c r="G106" s="148"/>
      <c r="H106" s="148"/>
      <c r="I106" s="148"/>
      <c r="J106" s="148"/>
      <c r="K106" s="148"/>
      <c r="L106" s="148"/>
      <c r="M106" s="148"/>
      <c r="N106" s="148"/>
    </row>
    <row r="107" spans="1:14">
      <c r="A107" s="372"/>
      <c r="B107" s="366" t="s">
        <v>313</v>
      </c>
      <c r="C107" s="223" t="s">
        <v>314</v>
      </c>
      <c r="D107" s="63" t="s">
        <v>15</v>
      </c>
      <c r="E107" s="272"/>
      <c r="F107" s="273"/>
      <c r="G107" s="148"/>
      <c r="H107" s="148"/>
      <c r="I107" s="148"/>
      <c r="J107" s="148"/>
      <c r="K107" s="148"/>
      <c r="L107" s="148"/>
      <c r="M107" s="148"/>
      <c r="N107" s="148"/>
    </row>
    <row r="108" spans="1:14">
      <c r="A108" s="372"/>
      <c r="B108" s="366"/>
      <c r="C108" s="362" t="s">
        <v>316</v>
      </c>
      <c r="D108" s="63" t="s">
        <v>317</v>
      </c>
      <c r="E108" s="272" t="s">
        <v>212</v>
      </c>
      <c r="F108" s="273" t="s">
        <v>217</v>
      </c>
      <c r="G108" s="148"/>
      <c r="H108" s="148"/>
      <c r="I108" s="148"/>
      <c r="J108" s="148"/>
      <c r="K108" s="148"/>
      <c r="L108" s="148"/>
      <c r="M108" s="148"/>
      <c r="N108" s="148"/>
    </row>
    <row r="109" spans="1:14">
      <c r="A109" s="372"/>
      <c r="B109" s="366"/>
      <c r="C109" s="362"/>
      <c r="D109" s="63" t="s">
        <v>318</v>
      </c>
      <c r="E109" s="272" t="s">
        <v>212</v>
      </c>
      <c r="F109" s="273" t="s">
        <v>217</v>
      </c>
      <c r="G109" s="148"/>
      <c r="H109" s="148"/>
      <c r="I109" s="148"/>
      <c r="J109" s="148"/>
      <c r="K109" s="148"/>
      <c r="L109" s="148"/>
      <c r="M109" s="148"/>
      <c r="N109" s="148"/>
    </row>
    <row r="110" spans="1:14">
      <c r="A110" s="372"/>
      <c r="B110" s="366"/>
      <c r="C110" s="362"/>
      <c r="D110" s="63" t="s">
        <v>319</v>
      </c>
      <c r="E110" s="272"/>
      <c r="F110" s="273" t="s">
        <v>217</v>
      </c>
      <c r="G110" s="148"/>
      <c r="H110" s="148"/>
      <c r="I110" s="148"/>
      <c r="J110" s="148"/>
      <c r="K110" s="148"/>
      <c r="L110" s="148"/>
      <c r="M110" s="148"/>
      <c r="N110" s="148"/>
    </row>
    <row r="111" spans="1:14">
      <c r="A111" s="372"/>
      <c r="B111" s="366"/>
      <c r="C111" s="362" t="s">
        <v>320</v>
      </c>
      <c r="D111" s="63" t="s">
        <v>321</v>
      </c>
      <c r="E111" s="272" t="s">
        <v>212</v>
      </c>
      <c r="F111" s="273" t="s">
        <v>220</v>
      </c>
      <c r="G111" s="148"/>
      <c r="H111" s="148"/>
      <c r="I111" s="148"/>
      <c r="J111" s="148"/>
      <c r="K111" s="148"/>
      <c r="L111" s="148"/>
      <c r="M111" s="148"/>
      <c r="N111" s="148"/>
    </row>
    <row r="112" spans="1:14">
      <c r="A112" s="372"/>
      <c r="B112" s="366"/>
      <c r="C112" s="362"/>
      <c r="D112" s="63" t="s">
        <v>322</v>
      </c>
      <c r="E112" s="272"/>
      <c r="F112" s="273" t="s">
        <v>220</v>
      </c>
      <c r="G112" s="148"/>
      <c r="H112" s="148"/>
      <c r="I112" s="148"/>
      <c r="J112" s="148"/>
      <c r="K112" s="148"/>
      <c r="L112" s="148"/>
      <c r="M112" s="148"/>
      <c r="N112" s="148"/>
    </row>
    <row r="113" spans="1:14">
      <c r="A113" s="372"/>
      <c r="B113" s="366"/>
      <c r="C113" s="362"/>
      <c r="D113" s="63" t="s">
        <v>323</v>
      </c>
      <c r="E113" s="272" t="s">
        <v>212</v>
      </c>
      <c r="F113" s="273" t="s">
        <v>217</v>
      </c>
      <c r="G113" s="148"/>
      <c r="H113" s="148"/>
      <c r="I113" s="148"/>
      <c r="J113" s="148"/>
      <c r="K113" s="148"/>
      <c r="L113" s="148"/>
      <c r="M113" s="148"/>
      <c r="N113" s="148"/>
    </row>
    <row r="114" spans="1:14">
      <c r="A114" s="372"/>
      <c r="B114" s="366"/>
      <c r="C114" s="362" t="s">
        <v>324</v>
      </c>
      <c r="D114" s="362"/>
      <c r="E114" s="274"/>
      <c r="F114" s="275"/>
      <c r="G114" s="148"/>
      <c r="H114" s="148"/>
      <c r="I114" s="148"/>
      <c r="J114" s="148"/>
      <c r="K114" s="148"/>
      <c r="L114" s="148"/>
      <c r="M114" s="148"/>
      <c r="N114" s="148"/>
    </row>
  </sheetData>
  <dataConsolidate/>
  <mergeCells count="20">
    <mergeCell ref="A7:F8"/>
    <mergeCell ref="G7:M7"/>
    <mergeCell ref="N7:N8"/>
    <mergeCell ref="A9:D9"/>
    <mergeCell ref="A10:A13"/>
    <mergeCell ref="B10:D10"/>
    <mergeCell ref="B11:D11"/>
    <mergeCell ref="B12:D12"/>
    <mergeCell ref="B13:D13"/>
    <mergeCell ref="C114:D114"/>
    <mergeCell ref="A14:A34"/>
    <mergeCell ref="B14:C22"/>
    <mergeCell ref="B23:C31"/>
    <mergeCell ref="B32:C34"/>
    <mergeCell ref="A35:A114"/>
    <mergeCell ref="B35:C97"/>
    <mergeCell ref="B98:C106"/>
    <mergeCell ref="B107:B114"/>
    <mergeCell ref="C108:C110"/>
    <mergeCell ref="C111:C113"/>
  </mergeCells>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B8E9F-4728-421D-B4D3-26741C750A29}">
  <sheetPr codeName="Sheet1" filterMode="1"/>
  <dimension ref="A1:M55"/>
  <sheetViews>
    <sheetView showGridLines="0" topLeftCell="A16" zoomScale="85" zoomScaleNormal="85" workbookViewId="0">
      <selection activeCell="A23" sqref="A23:B53"/>
    </sheetView>
  </sheetViews>
  <sheetFormatPr defaultRowHeight="14.4"/>
  <cols>
    <col min="1" max="1" width="42.5546875" customWidth="1"/>
    <col min="2" max="2" width="48.109375" customWidth="1"/>
    <col min="3" max="3" width="12.109375" style="1" customWidth="1"/>
    <col min="4" max="6" width="17.109375" style="1" customWidth="1"/>
    <col min="7" max="7" width="10.88671875" hidden="1" customWidth="1"/>
    <col min="8" max="8" width="16" customWidth="1"/>
    <col min="9" max="9" width="11.5546875" customWidth="1"/>
    <col min="10" max="10" width="14.109375" customWidth="1"/>
    <col min="11" max="11" width="4" hidden="1" customWidth="1"/>
    <col min="12" max="12" width="19.44140625" hidden="1" customWidth="1"/>
    <col min="13" max="13" width="9.109375" hidden="1" customWidth="1"/>
  </cols>
  <sheetData>
    <row r="1" spans="1:13">
      <c r="I1" s="37"/>
      <c r="J1" s="37"/>
      <c r="L1" s="48" t="s">
        <v>958</v>
      </c>
    </row>
    <row r="2" spans="1:13">
      <c r="A2" s="387" t="s">
        <v>959</v>
      </c>
      <c r="B2" s="387"/>
      <c r="C2" s="388"/>
      <c r="I2" s="37"/>
      <c r="J2" s="37"/>
      <c r="L2" s="49" t="s">
        <v>960</v>
      </c>
    </row>
    <row r="3" spans="1:13" ht="21" customHeight="1">
      <c r="A3" s="383" t="s">
        <v>961</v>
      </c>
      <c r="B3" s="2" t="s">
        <v>962</v>
      </c>
      <c r="C3" s="38" t="s">
        <v>528</v>
      </c>
      <c r="L3" s="47">
        <f t="shared" ref="L3:L13" si="0">IF(C3="Yes",1,0)</f>
        <v>0</v>
      </c>
    </row>
    <row r="4" spans="1:13" ht="21" customHeight="1">
      <c r="A4" s="383"/>
      <c r="B4" s="2" t="s">
        <v>963</v>
      </c>
      <c r="C4" s="38" t="s">
        <v>528</v>
      </c>
      <c r="L4" s="47">
        <f t="shared" si="0"/>
        <v>0</v>
      </c>
    </row>
    <row r="5" spans="1:13" ht="21" customHeight="1">
      <c r="A5" s="383"/>
      <c r="B5" s="2" t="s">
        <v>964</v>
      </c>
      <c r="C5" s="38" t="s">
        <v>528</v>
      </c>
      <c r="L5" s="47">
        <f t="shared" si="0"/>
        <v>0</v>
      </c>
    </row>
    <row r="6" spans="1:13" ht="21" customHeight="1">
      <c r="A6" s="383"/>
      <c r="B6" s="3" t="s">
        <v>965</v>
      </c>
      <c r="C6" s="38" t="s">
        <v>516</v>
      </c>
      <c r="L6" s="47">
        <f t="shared" si="0"/>
        <v>1</v>
      </c>
    </row>
    <row r="7" spans="1:13" ht="21" customHeight="1">
      <c r="A7" s="383"/>
      <c r="B7" s="2" t="s">
        <v>900</v>
      </c>
      <c r="C7" s="38" t="s">
        <v>528</v>
      </c>
      <c r="L7" s="47">
        <f t="shared" si="0"/>
        <v>0</v>
      </c>
    </row>
    <row r="8" spans="1:13" ht="21" customHeight="1">
      <c r="A8" s="383"/>
      <c r="B8" s="2" t="s">
        <v>966</v>
      </c>
      <c r="C8" s="38" t="s">
        <v>528</v>
      </c>
      <c r="L8" s="47">
        <f t="shared" si="0"/>
        <v>0</v>
      </c>
    </row>
    <row r="9" spans="1:13" ht="21" customHeight="1">
      <c r="A9" s="383"/>
      <c r="B9" s="2" t="s">
        <v>967</v>
      </c>
      <c r="C9" s="38" t="s">
        <v>528</v>
      </c>
      <c r="L9" s="47">
        <f t="shared" si="0"/>
        <v>0</v>
      </c>
    </row>
    <row r="10" spans="1:13" ht="21" customHeight="1">
      <c r="A10" s="383"/>
      <c r="B10" s="2" t="s">
        <v>968</v>
      </c>
      <c r="C10" s="38" t="s">
        <v>528</v>
      </c>
      <c r="H10" s="30"/>
      <c r="I10" s="50" t="s">
        <v>969</v>
      </c>
      <c r="J10" s="50" t="s">
        <v>970</v>
      </c>
      <c r="L10" s="47">
        <f t="shared" si="0"/>
        <v>0</v>
      </c>
    </row>
    <row r="11" spans="1:13" ht="21" customHeight="1">
      <c r="A11" s="383"/>
      <c r="B11" s="2" t="s">
        <v>971</v>
      </c>
      <c r="C11" s="38" t="s">
        <v>528</v>
      </c>
      <c r="H11" s="30" t="s">
        <v>972</v>
      </c>
      <c r="I11" s="30">
        <f>SUM(H18:H53)</f>
        <v>24</v>
      </c>
      <c r="J11" s="31">
        <v>1</v>
      </c>
      <c r="L11" s="47">
        <f t="shared" si="0"/>
        <v>0</v>
      </c>
    </row>
    <row r="12" spans="1:13" ht="21" customHeight="1">
      <c r="A12" s="383"/>
      <c r="B12" s="3" t="s">
        <v>973</v>
      </c>
      <c r="C12" s="38" t="s">
        <v>528</v>
      </c>
      <c r="H12" s="30" t="s">
        <v>974</v>
      </c>
      <c r="I12" s="30">
        <f>SUM(I18:I53)</f>
        <v>0</v>
      </c>
      <c r="J12" s="31">
        <f>IF(I12&gt;0,ROUND(I12/I11,2),0)</f>
        <v>0</v>
      </c>
      <c r="L12" s="47">
        <f t="shared" si="0"/>
        <v>0</v>
      </c>
    </row>
    <row r="13" spans="1:13" ht="21" customHeight="1">
      <c r="A13" s="383"/>
      <c r="B13" s="3" t="s">
        <v>975</v>
      </c>
      <c r="C13" s="38" t="s">
        <v>528</v>
      </c>
      <c r="H13" s="30" t="s">
        <v>976</v>
      </c>
      <c r="I13" s="30">
        <f>SUM(J18:J53)</f>
        <v>0</v>
      </c>
      <c r="J13" s="31">
        <f>IF(I13&gt;0,ROUND(I13/I11,2),0)</f>
        <v>0</v>
      </c>
      <c r="L13" s="47">
        <f t="shared" si="0"/>
        <v>0</v>
      </c>
    </row>
    <row r="14" spans="1:13" s="37" customFormat="1" ht="21" customHeight="1">
      <c r="A14" s="41"/>
      <c r="B14" s="41"/>
      <c r="C14" s="42"/>
      <c r="D14" s="42"/>
      <c r="E14" s="43"/>
      <c r="F14" s="43"/>
      <c r="G14"/>
      <c r="H14" s="44"/>
      <c r="I14" s="44"/>
      <c r="J14" s="45"/>
      <c r="L14"/>
      <c r="M14"/>
    </row>
    <row r="15" spans="1:13" ht="21" customHeight="1">
      <c r="A15" s="384" t="s">
        <v>977</v>
      </c>
      <c r="B15" s="384"/>
      <c r="C15" s="384"/>
      <c r="D15" s="384"/>
      <c r="E15" s="384"/>
      <c r="F15" s="384"/>
      <c r="G15" s="385"/>
      <c r="H15" s="384"/>
      <c r="I15" s="384"/>
      <c r="J15" s="386"/>
    </row>
    <row r="16" spans="1:13" ht="3" customHeight="1">
      <c r="J16" s="46"/>
    </row>
    <row r="17" spans="1:13" s="40" customFormat="1" ht="28.8">
      <c r="A17" s="28" t="s">
        <v>2</v>
      </c>
      <c r="B17" s="39" t="s">
        <v>3</v>
      </c>
      <c r="C17" s="2" t="s">
        <v>978</v>
      </c>
      <c r="D17" s="32" t="s">
        <v>979</v>
      </c>
      <c r="E17" s="32" t="s">
        <v>980</v>
      </c>
      <c r="F17" s="33" t="s">
        <v>981</v>
      </c>
      <c r="G17" s="34" t="s">
        <v>982</v>
      </c>
      <c r="H17" s="35" t="s">
        <v>958</v>
      </c>
      <c r="I17" s="36" t="s">
        <v>983</v>
      </c>
      <c r="J17" s="36" t="s">
        <v>984</v>
      </c>
      <c r="L17" s="5" t="s">
        <v>982</v>
      </c>
      <c r="M17" s="6"/>
    </row>
    <row r="18" spans="1:13" hidden="1">
      <c r="A18" s="29" t="s">
        <v>11</v>
      </c>
      <c r="B18" s="29" t="s">
        <v>12</v>
      </c>
      <c r="C18" s="12" t="s">
        <v>225</v>
      </c>
      <c r="D18" s="10" t="s">
        <v>985</v>
      </c>
      <c r="E18" s="10" t="s">
        <v>899</v>
      </c>
      <c r="F18" s="10" t="s">
        <v>986</v>
      </c>
      <c r="G18" s="10">
        <f t="shared" ref="G18:G53" si="1">VLOOKUP(C18,$L$18:$M$20,2,0)</f>
        <v>1</v>
      </c>
      <c r="H18" s="10">
        <f t="array" ref="H18">IF(SUMPRODUCT(Conf!$C3:$M3,TRANSPOSE($L$3:$L$13))&gt;0,G18*MAX($M$22:$M$25),0)</f>
        <v>0</v>
      </c>
      <c r="I18" s="10">
        <f t="shared" ref="I18:I53" si="2">IF(H18&gt;0,G18*VLOOKUP(D18,$L$22:$M$25,2,0),0)</f>
        <v>0</v>
      </c>
      <c r="J18" s="10">
        <f t="shared" ref="J18:J53" si="3">IF(H18&gt;0,G18*VLOOKUP(E18,$L$22:$M$25,2,0),0)</f>
        <v>0</v>
      </c>
      <c r="K18">
        <v>1</v>
      </c>
      <c r="L18" s="12" t="s">
        <v>225</v>
      </c>
      <c r="M18" s="12">
        <v>1</v>
      </c>
    </row>
    <row r="19" spans="1:13" hidden="1">
      <c r="A19" s="29" t="s">
        <v>11</v>
      </c>
      <c r="B19" s="29" t="s">
        <v>16</v>
      </c>
      <c r="C19" s="13" t="s">
        <v>987</v>
      </c>
      <c r="D19" s="10" t="s">
        <v>988</v>
      </c>
      <c r="E19" s="10" t="s">
        <v>988</v>
      </c>
      <c r="F19" s="10"/>
      <c r="G19" s="10">
        <f t="shared" si="1"/>
        <v>1</v>
      </c>
      <c r="H19" s="10">
        <f t="array" ref="H19">IF(SUMPRODUCT(Conf!$C4:$M4,TRANSPOSE($L$3:$L$13))&gt;0,G19*MAX($M$22:$M$25),0)</f>
        <v>0</v>
      </c>
      <c r="I19" s="10">
        <f t="shared" si="2"/>
        <v>0</v>
      </c>
      <c r="J19" s="10">
        <f t="shared" si="3"/>
        <v>0</v>
      </c>
      <c r="K19">
        <v>3</v>
      </c>
      <c r="L19" s="9" t="s">
        <v>989</v>
      </c>
      <c r="M19" s="9">
        <v>1</v>
      </c>
    </row>
    <row r="20" spans="1:13" hidden="1">
      <c r="A20" s="29" t="s">
        <v>11</v>
      </c>
      <c r="B20" s="29" t="s">
        <v>26</v>
      </c>
      <c r="C20" s="9" t="s">
        <v>989</v>
      </c>
      <c r="D20" s="10" t="s">
        <v>988</v>
      </c>
      <c r="E20" s="10" t="s">
        <v>988</v>
      </c>
      <c r="F20" s="10"/>
      <c r="G20" s="10">
        <f t="shared" si="1"/>
        <v>1</v>
      </c>
      <c r="H20" s="10">
        <f t="array" ref="H20">IF(SUMPRODUCT(Conf!$C5:$M5,TRANSPOSE($L$3:$L$13))&gt;0,G20*MAX($M$22:$M$25),0)</f>
        <v>0</v>
      </c>
      <c r="I20" s="10">
        <f t="shared" si="2"/>
        <v>0</v>
      </c>
      <c r="J20" s="10">
        <f t="shared" si="3"/>
        <v>0</v>
      </c>
      <c r="K20">
        <v>2</v>
      </c>
      <c r="L20" s="13" t="s">
        <v>987</v>
      </c>
      <c r="M20" s="13">
        <v>1</v>
      </c>
    </row>
    <row r="21" spans="1:13" hidden="1">
      <c r="A21" s="29" t="s">
        <v>11</v>
      </c>
      <c r="B21" s="29" t="s">
        <v>29</v>
      </c>
      <c r="C21" s="9" t="s">
        <v>989</v>
      </c>
      <c r="D21" s="10" t="s">
        <v>988</v>
      </c>
      <c r="E21" s="10" t="s">
        <v>988</v>
      </c>
      <c r="F21" s="10"/>
      <c r="G21" s="10">
        <f t="shared" si="1"/>
        <v>1</v>
      </c>
      <c r="H21" s="10">
        <f t="array" ref="H21">IF(SUMPRODUCT(Conf!$C6:$M6,TRANSPOSE($L$3:$L$13))&gt;0,G21*MAX($M$22:$M$25),0)</f>
        <v>0</v>
      </c>
      <c r="I21" s="10">
        <f t="shared" si="2"/>
        <v>0</v>
      </c>
      <c r="J21" s="10">
        <f t="shared" si="3"/>
        <v>0</v>
      </c>
      <c r="K21">
        <v>2</v>
      </c>
    </row>
    <row r="22" spans="1:13" hidden="1">
      <c r="A22" s="29" t="s">
        <v>11</v>
      </c>
      <c r="B22" s="29" t="s">
        <v>33</v>
      </c>
      <c r="C22" s="12" t="s">
        <v>225</v>
      </c>
      <c r="D22" s="10" t="s">
        <v>988</v>
      </c>
      <c r="E22" s="10" t="s">
        <v>988</v>
      </c>
      <c r="F22" s="10"/>
      <c r="G22" s="10">
        <f t="shared" si="1"/>
        <v>1</v>
      </c>
      <c r="H22" s="10">
        <f t="array" ref="H22">IF(SUMPRODUCT(Conf!$C7:$M7,TRANSPOSE($L$3:$L$13))&gt;0,G22*MAX($M$22:$M$25),0)</f>
        <v>0</v>
      </c>
      <c r="I22" s="10">
        <f t="shared" si="2"/>
        <v>0</v>
      </c>
      <c r="J22" s="10">
        <f t="shared" si="3"/>
        <v>0</v>
      </c>
      <c r="K22">
        <v>1</v>
      </c>
      <c r="L22" s="14" t="s">
        <v>988</v>
      </c>
      <c r="M22" s="15">
        <v>0</v>
      </c>
    </row>
    <row r="23" spans="1:13">
      <c r="A23" s="29" t="s">
        <v>11</v>
      </c>
      <c r="B23" s="29" t="s">
        <v>20</v>
      </c>
      <c r="C23" s="12" t="s">
        <v>225</v>
      </c>
      <c r="D23" s="10" t="s">
        <v>988</v>
      </c>
      <c r="E23" s="10" t="s">
        <v>988</v>
      </c>
      <c r="F23" s="10"/>
      <c r="G23" s="10">
        <f t="shared" si="1"/>
        <v>1</v>
      </c>
      <c r="H23" s="10">
        <f t="array" ref="H23">IF(SUMPRODUCT(Conf!$C8:$M8,TRANSPOSE($L$3:$L$13))&gt;0,G23*MAX($M$22:$M$25),0)</f>
        <v>3</v>
      </c>
      <c r="I23" s="10">
        <f t="shared" si="2"/>
        <v>0</v>
      </c>
      <c r="J23" s="10">
        <f t="shared" si="3"/>
        <v>0</v>
      </c>
      <c r="K23">
        <v>1</v>
      </c>
      <c r="L23" s="14" t="s">
        <v>985</v>
      </c>
      <c r="M23" s="15">
        <v>1</v>
      </c>
    </row>
    <row r="24" spans="1:13">
      <c r="A24" s="29" t="s">
        <v>11</v>
      </c>
      <c r="B24" s="29" t="s">
        <v>40</v>
      </c>
      <c r="C24" s="13" t="s">
        <v>987</v>
      </c>
      <c r="D24" s="10" t="s">
        <v>988</v>
      </c>
      <c r="E24" s="10" t="s">
        <v>988</v>
      </c>
      <c r="F24" s="10"/>
      <c r="G24" s="10">
        <f t="shared" si="1"/>
        <v>1</v>
      </c>
      <c r="H24" s="10">
        <f t="array" ref="H24">IF(SUMPRODUCT(Conf!$C9:$M9,TRANSPOSE($L$3:$L$13))&gt;0,G24*MAX($M$22:$M$25),0)</f>
        <v>3</v>
      </c>
      <c r="I24" s="10">
        <f t="shared" si="2"/>
        <v>0</v>
      </c>
      <c r="J24" s="10">
        <f t="shared" si="3"/>
        <v>0</v>
      </c>
      <c r="K24">
        <v>3</v>
      </c>
      <c r="L24" s="14" t="s">
        <v>899</v>
      </c>
      <c r="M24" s="15">
        <v>2</v>
      </c>
    </row>
    <row r="25" spans="1:13" hidden="1">
      <c r="A25" s="29" t="s">
        <v>49</v>
      </c>
      <c r="B25" s="29" t="s">
        <v>59</v>
      </c>
      <c r="C25" s="9" t="s">
        <v>989</v>
      </c>
      <c r="D25" s="10" t="s">
        <v>988</v>
      </c>
      <c r="E25" s="10" t="s">
        <v>988</v>
      </c>
      <c r="F25" s="10"/>
      <c r="G25" s="10">
        <f t="shared" si="1"/>
        <v>1</v>
      </c>
      <c r="H25" s="10">
        <f t="array" ref="H25">IF(SUMPRODUCT(Conf!$C10:$M10,TRANSPOSE($L$3:$L$13))&gt;0,G25*MAX($M$22:$M$25),0)</f>
        <v>0</v>
      </c>
      <c r="I25" s="10">
        <f t="shared" si="2"/>
        <v>0</v>
      </c>
      <c r="J25" s="10">
        <f t="shared" si="3"/>
        <v>0</v>
      </c>
      <c r="K25">
        <v>2</v>
      </c>
      <c r="L25" s="14" t="s">
        <v>990</v>
      </c>
      <c r="M25" s="15">
        <v>3</v>
      </c>
    </row>
    <row r="26" spans="1:13" hidden="1">
      <c r="A26" s="29" t="s">
        <v>49</v>
      </c>
      <c r="B26" s="29" t="s">
        <v>50</v>
      </c>
      <c r="C26" s="13" t="s">
        <v>987</v>
      </c>
      <c r="D26" s="10" t="s">
        <v>988</v>
      </c>
      <c r="E26" s="10" t="s">
        <v>988</v>
      </c>
      <c r="F26" s="10"/>
      <c r="G26" s="10">
        <f t="shared" si="1"/>
        <v>1</v>
      </c>
      <c r="H26" s="10">
        <f t="array" ref="H26">IF(SUMPRODUCT(Conf!$C11:$M11,TRANSPOSE($L$3:$L$13))&gt;0,G26*MAX($M$22:$M$25),0)</f>
        <v>0</v>
      </c>
      <c r="I26" s="10">
        <f t="shared" si="2"/>
        <v>0</v>
      </c>
      <c r="J26" s="10">
        <f t="shared" si="3"/>
        <v>0</v>
      </c>
      <c r="K26">
        <v>3</v>
      </c>
    </row>
    <row r="27" spans="1:13" hidden="1">
      <c r="A27" s="29" t="s">
        <v>49</v>
      </c>
      <c r="B27" s="29" t="s">
        <v>54</v>
      </c>
      <c r="C27" s="12" t="s">
        <v>225</v>
      </c>
      <c r="D27" s="10" t="s">
        <v>988</v>
      </c>
      <c r="E27" s="10" t="s">
        <v>988</v>
      </c>
      <c r="F27" s="10"/>
      <c r="G27" s="10">
        <f t="shared" si="1"/>
        <v>1</v>
      </c>
      <c r="H27" s="10">
        <f t="array" ref="H27">IF(SUMPRODUCT(Conf!$C12:$M12,TRANSPOSE($L$3:$L$13))&gt;0,G27*MAX($M$22:$M$25),0)</f>
        <v>0</v>
      </c>
      <c r="I27" s="10">
        <f t="shared" si="2"/>
        <v>0</v>
      </c>
      <c r="J27" s="10">
        <f t="shared" si="3"/>
        <v>0</v>
      </c>
      <c r="K27">
        <v>1</v>
      </c>
    </row>
    <row r="28" spans="1:13" hidden="1">
      <c r="A28" s="29" t="s">
        <v>49</v>
      </c>
      <c r="B28" s="29" t="s">
        <v>130</v>
      </c>
      <c r="C28" s="9" t="s">
        <v>989</v>
      </c>
      <c r="D28" s="10" t="s">
        <v>988</v>
      </c>
      <c r="E28" s="10" t="s">
        <v>988</v>
      </c>
      <c r="F28" s="10"/>
      <c r="G28" s="10">
        <f t="shared" si="1"/>
        <v>1</v>
      </c>
      <c r="H28" s="10">
        <f t="array" ref="H28">IF(SUMPRODUCT(Conf!$C13:$M13,TRANSPOSE($L$3:$L$13))&gt;0,G28*MAX($M$22:$M$25),0)</f>
        <v>0</v>
      </c>
      <c r="I28" s="10">
        <f t="shared" si="2"/>
        <v>0</v>
      </c>
      <c r="J28" s="10">
        <f t="shared" si="3"/>
        <v>0</v>
      </c>
      <c r="K28">
        <v>2</v>
      </c>
      <c r="L28" s="20" t="s">
        <v>991</v>
      </c>
    </row>
    <row r="29" spans="1:13" hidden="1">
      <c r="A29" s="29" t="s">
        <v>992</v>
      </c>
      <c r="B29" s="29" t="s">
        <v>64</v>
      </c>
      <c r="C29" s="13" t="s">
        <v>987</v>
      </c>
      <c r="D29" s="10" t="s">
        <v>988</v>
      </c>
      <c r="E29" s="10" t="s">
        <v>988</v>
      </c>
      <c r="F29" s="10"/>
      <c r="G29" s="10">
        <f t="shared" si="1"/>
        <v>1</v>
      </c>
      <c r="H29" s="10">
        <f t="array" ref="H29">IF(SUMPRODUCT(Conf!$C14:$M14,TRANSPOSE($L$3:$L$13))&gt;0,G29*MAX($M$22:$M$25),0)</f>
        <v>0</v>
      </c>
      <c r="I29" s="10">
        <f t="shared" si="2"/>
        <v>0</v>
      </c>
      <c r="J29" s="10">
        <f t="shared" si="3"/>
        <v>0</v>
      </c>
      <c r="K29">
        <v>3</v>
      </c>
      <c r="L29" s="20" t="s">
        <v>986</v>
      </c>
    </row>
    <row r="30" spans="1:13" hidden="1">
      <c r="A30" s="29" t="s">
        <v>992</v>
      </c>
      <c r="B30" s="29" t="s">
        <v>70</v>
      </c>
      <c r="C30" s="9" t="s">
        <v>989</v>
      </c>
      <c r="D30" s="10" t="s">
        <v>988</v>
      </c>
      <c r="E30" s="10" t="s">
        <v>988</v>
      </c>
      <c r="F30" s="10"/>
      <c r="G30" s="10">
        <f t="shared" si="1"/>
        <v>1</v>
      </c>
      <c r="H30" s="10">
        <f t="array" ref="H30">IF(SUMPRODUCT(Conf!$C15:$M15,TRANSPOSE($L$3:$L$13))&gt;0,G30*MAX($M$22:$M$25),0)</f>
        <v>0</v>
      </c>
      <c r="I30" s="10">
        <f t="shared" si="2"/>
        <v>0</v>
      </c>
      <c r="J30" s="10">
        <f t="shared" si="3"/>
        <v>0</v>
      </c>
      <c r="K30">
        <v>2</v>
      </c>
      <c r="L30" s="20" t="s">
        <v>993</v>
      </c>
    </row>
    <row r="31" spans="1:13" hidden="1">
      <c r="A31" s="29" t="s">
        <v>992</v>
      </c>
      <c r="B31" s="29" t="s">
        <v>75</v>
      </c>
      <c r="C31" s="13" t="s">
        <v>987</v>
      </c>
      <c r="D31" s="10" t="s">
        <v>988</v>
      </c>
      <c r="E31" s="10" t="s">
        <v>988</v>
      </c>
      <c r="F31" s="10"/>
      <c r="G31" s="10">
        <f t="shared" si="1"/>
        <v>1</v>
      </c>
      <c r="H31" s="10">
        <f t="array" ref="H31">IF(SUMPRODUCT(Conf!$C16:$M16,TRANSPOSE($L$3:$L$13))&gt;0,G31*MAX($M$22:$M$25),0)</f>
        <v>0</v>
      </c>
      <c r="I31" s="10">
        <f t="shared" si="2"/>
        <v>0</v>
      </c>
      <c r="J31" s="10">
        <f t="shared" si="3"/>
        <v>0</v>
      </c>
      <c r="K31">
        <v>3</v>
      </c>
      <c r="L31" s="20" t="s">
        <v>994</v>
      </c>
    </row>
    <row r="32" spans="1:13" hidden="1">
      <c r="A32" s="29" t="s">
        <v>992</v>
      </c>
      <c r="B32" s="29" t="s">
        <v>79</v>
      </c>
      <c r="C32" s="13" t="s">
        <v>987</v>
      </c>
      <c r="D32" s="10" t="s">
        <v>988</v>
      </c>
      <c r="E32" s="10" t="s">
        <v>988</v>
      </c>
      <c r="F32" s="10"/>
      <c r="G32" s="10">
        <f t="shared" si="1"/>
        <v>1</v>
      </c>
      <c r="H32" s="10">
        <f t="array" ref="H32">IF(SUMPRODUCT(Conf!$C17:$M17,TRANSPOSE($L$3:$L$13))&gt;0,G32*MAX($M$22:$M$25),0)</f>
        <v>0</v>
      </c>
      <c r="I32" s="10">
        <f t="shared" si="2"/>
        <v>0</v>
      </c>
      <c r="J32" s="10">
        <f t="shared" si="3"/>
        <v>0</v>
      </c>
      <c r="K32">
        <v>3</v>
      </c>
      <c r="L32" s="20" t="s">
        <v>995</v>
      </c>
    </row>
    <row r="33" spans="1:11" hidden="1">
      <c r="A33" s="29" t="s">
        <v>99</v>
      </c>
      <c r="B33" s="29" t="s">
        <v>105</v>
      </c>
      <c r="C33" s="13" t="s">
        <v>987</v>
      </c>
      <c r="D33" s="10" t="s">
        <v>988</v>
      </c>
      <c r="E33" s="10" t="s">
        <v>988</v>
      </c>
      <c r="F33" s="10"/>
      <c r="G33" s="10">
        <f t="shared" si="1"/>
        <v>1</v>
      </c>
      <c r="H33" s="10">
        <f t="array" ref="H33">IF(SUMPRODUCT(Conf!$C18:$M18,TRANSPOSE($L$3:$L$13))&gt;0,G33*MAX($M$22:$M$25),0)</f>
        <v>0</v>
      </c>
      <c r="I33" s="10">
        <f t="shared" si="2"/>
        <v>0</v>
      </c>
      <c r="J33" s="10">
        <f t="shared" si="3"/>
        <v>0</v>
      </c>
      <c r="K33">
        <v>3</v>
      </c>
    </row>
    <row r="34" spans="1:11" hidden="1">
      <c r="A34" s="29" t="s">
        <v>99</v>
      </c>
      <c r="B34" s="29" t="s">
        <v>110</v>
      </c>
      <c r="C34" s="13" t="s">
        <v>987</v>
      </c>
      <c r="D34" s="10" t="s">
        <v>988</v>
      </c>
      <c r="E34" s="10" t="s">
        <v>988</v>
      </c>
      <c r="F34" s="10"/>
      <c r="G34" s="10">
        <f t="shared" si="1"/>
        <v>1</v>
      </c>
      <c r="H34" s="10">
        <f t="array" ref="H34">IF(SUMPRODUCT(Conf!$C19:$M19,TRANSPOSE($L$3:$L$13))&gt;0,G34*MAX($M$22:$M$25),0)</f>
        <v>0</v>
      </c>
      <c r="I34" s="10">
        <f t="shared" si="2"/>
        <v>0</v>
      </c>
      <c r="J34" s="10">
        <f t="shared" si="3"/>
        <v>0</v>
      </c>
      <c r="K34">
        <v>3</v>
      </c>
    </row>
    <row r="35" spans="1:11" hidden="1">
      <c r="A35" s="29" t="s">
        <v>99</v>
      </c>
      <c r="B35" s="29" t="s">
        <v>100</v>
      </c>
      <c r="C35" s="9" t="s">
        <v>989</v>
      </c>
      <c r="D35" s="10" t="s">
        <v>988</v>
      </c>
      <c r="E35" s="10" t="s">
        <v>988</v>
      </c>
      <c r="F35" s="10"/>
      <c r="G35" s="10">
        <f t="shared" si="1"/>
        <v>1</v>
      </c>
      <c r="H35" s="10">
        <f t="array" ref="H35">IF(SUMPRODUCT(Conf!$C20:$M20,TRANSPOSE($L$3:$L$13))&gt;0,G35*MAX($M$22:$M$25),0)</f>
        <v>0</v>
      </c>
      <c r="I35" s="10">
        <f t="shared" si="2"/>
        <v>0</v>
      </c>
      <c r="J35" s="10">
        <f t="shared" si="3"/>
        <v>0</v>
      </c>
      <c r="K35">
        <v>2</v>
      </c>
    </row>
    <row r="36" spans="1:11">
      <c r="A36" s="29" t="s">
        <v>129</v>
      </c>
      <c r="B36" s="29" t="s">
        <v>133</v>
      </c>
      <c r="C36" s="12" t="s">
        <v>225</v>
      </c>
      <c r="D36" s="10" t="s">
        <v>988</v>
      </c>
      <c r="E36" s="10" t="s">
        <v>988</v>
      </c>
      <c r="F36" s="10"/>
      <c r="G36" s="10">
        <f t="shared" si="1"/>
        <v>1</v>
      </c>
      <c r="H36" s="10">
        <f t="array" ref="H36">IF(SUMPRODUCT(Conf!$C21:$M21,TRANSPOSE($L$3:$L$13))&gt;0,G36*MAX($M$22:$M$25),0)</f>
        <v>3</v>
      </c>
      <c r="I36" s="10">
        <f t="shared" si="2"/>
        <v>0</v>
      </c>
      <c r="J36" s="10">
        <f t="shared" si="3"/>
        <v>0</v>
      </c>
      <c r="K36">
        <v>1</v>
      </c>
    </row>
    <row r="37" spans="1:11">
      <c r="A37" s="29" t="s">
        <v>129</v>
      </c>
      <c r="B37" s="29" t="s">
        <v>137</v>
      </c>
      <c r="C37" s="9" t="s">
        <v>989</v>
      </c>
      <c r="D37" s="10" t="s">
        <v>988</v>
      </c>
      <c r="E37" s="10" t="s">
        <v>988</v>
      </c>
      <c r="F37" s="10"/>
      <c r="G37" s="10">
        <f t="shared" si="1"/>
        <v>1</v>
      </c>
      <c r="H37" s="10">
        <f t="array" ref="H37">IF(SUMPRODUCT(Conf!$C22:$M22,TRANSPOSE($L$3:$L$13))&gt;0,G37*MAX($M$22:$M$25),0)</f>
        <v>3</v>
      </c>
      <c r="I37" s="10">
        <f t="shared" si="2"/>
        <v>0</v>
      </c>
      <c r="J37" s="10">
        <f t="shared" si="3"/>
        <v>0</v>
      </c>
      <c r="K37">
        <v>2</v>
      </c>
    </row>
    <row r="38" spans="1:11" hidden="1">
      <c r="A38" s="29" t="s">
        <v>129</v>
      </c>
      <c r="B38" s="29" t="s">
        <v>140</v>
      </c>
      <c r="C38" s="9" t="s">
        <v>989</v>
      </c>
      <c r="D38" s="10" t="s">
        <v>988</v>
      </c>
      <c r="E38" s="10" t="s">
        <v>988</v>
      </c>
      <c r="F38" s="10"/>
      <c r="G38" s="10">
        <f t="shared" si="1"/>
        <v>1</v>
      </c>
      <c r="H38" s="10">
        <f t="array" ref="H38">IF(SUMPRODUCT(Conf!$C23:$M23,TRANSPOSE($L$3:$L$13))&gt;0,G38*MAX($M$22:$M$25),0)</f>
        <v>0</v>
      </c>
      <c r="I38" s="10">
        <f t="shared" si="2"/>
        <v>0</v>
      </c>
      <c r="J38" s="10">
        <f t="shared" si="3"/>
        <v>0</v>
      </c>
      <c r="K38">
        <v>2</v>
      </c>
    </row>
    <row r="39" spans="1:11" hidden="1">
      <c r="A39" s="29" t="s">
        <v>129</v>
      </c>
      <c r="B39" s="29" t="s">
        <v>996</v>
      </c>
      <c r="C39" s="13" t="s">
        <v>987</v>
      </c>
      <c r="D39" s="10" t="s">
        <v>988</v>
      </c>
      <c r="E39" s="10" t="s">
        <v>988</v>
      </c>
      <c r="F39" s="10"/>
      <c r="G39" s="10">
        <f t="shared" si="1"/>
        <v>1</v>
      </c>
      <c r="H39" s="10">
        <f t="array" ref="H39">IF(SUMPRODUCT(Conf!$C24:$M24,TRANSPOSE($L$3:$L$13))&gt;0,G39*MAX($M$22:$M$25),0)</f>
        <v>0</v>
      </c>
      <c r="I39" s="10">
        <f t="shared" si="2"/>
        <v>0</v>
      </c>
      <c r="J39" s="10">
        <f t="shared" si="3"/>
        <v>0</v>
      </c>
      <c r="K39">
        <v>3</v>
      </c>
    </row>
    <row r="40" spans="1:11" hidden="1">
      <c r="A40" s="29" t="s">
        <v>129</v>
      </c>
      <c r="B40" s="29" t="s">
        <v>997</v>
      </c>
      <c r="C40" s="12" t="s">
        <v>225</v>
      </c>
      <c r="D40" s="10" t="s">
        <v>988</v>
      </c>
      <c r="E40" s="10" t="s">
        <v>988</v>
      </c>
      <c r="F40" s="10"/>
      <c r="G40" s="10">
        <f t="shared" si="1"/>
        <v>1</v>
      </c>
      <c r="H40" s="10">
        <f t="array" ref="H40">IF(SUMPRODUCT(Conf!$C25:$M25,TRANSPOSE($L$3:$L$13))&gt;0,G40*MAX($M$22:$M$25),0)</f>
        <v>0</v>
      </c>
      <c r="I40" s="10">
        <f t="shared" si="2"/>
        <v>0</v>
      </c>
      <c r="J40" s="10">
        <f t="shared" si="3"/>
        <v>0</v>
      </c>
      <c r="K40">
        <v>1</v>
      </c>
    </row>
    <row r="41" spans="1:11" hidden="1">
      <c r="A41" s="29" t="s">
        <v>129</v>
      </c>
      <c r="B41" s="29" t="s">
        <v>144</v>
      </c>
      <c r="C41" s="12" t="s">
        <v>225</v>
      </c>
      <c r="D41" s="10" t="s">
        <v>988</v>
      </c>
      <c r="E41" s="10" t="s">
        <v>988</v>
      </c>
      <c r="F41" s="10"/>
      <c r="G41" s="10">
        <f t="shared" si="1"/>
        <v>1</v>
      </c>
      <c r="H41" s="10">
        <f t="array" ref="H41">IF(SUMPRODUCT(Conf!$C26:$M26,TRANSPOSE($L$3:$L$13))&gt;0,G41*MAX($M$22:$M$25),0)</f>
        <v>0</v>
      </c>
      <c r="I41" s="10">
        <f t="shared" si="2"/>
        <v>0</v>
      </c>
      <c r="J41" s="10">
        <f t="shared" si="3"/>
        <v>0</v>
      </c>
      <c r="K41">
        <v>1</v>
      </c>
    </row>
    <row r="42" spans="1:11">
      <c r="A42" s="29" t="s">
        <v>129</v>
      </c>
      <c r="B42" s="29" t="s">
        <v>148</v>
      </c>
      <c r="C42" s="13" t="s">
        <v>987</v>
      </c>
      <c r="D42" s="10" t="s">
        <v>988</v>
      </c>
      <c r="E42" s="10" t="s">
        <v>988</v>
      </c>
      <c r="F42" s="10"/>
      <c r="G42" s="10">
        <f t="shared" si="1"/>
        <v>1</v>
      </c>
      <c r="H42" s="10">
        <f t="array" ref="H42">IF(SUMPRODUCT(Conf!$C27:$M27,TRANSPOSE($L$3:$L$13))&gt;0,G42*MAX($M$22:$M$25),0)</f>
        <v>3</v>
      </c>
      <c r="I42" s="10">
        <f t="shared" si="2"/>
        <v>0</v>
      </c>
      <c r="J42" s="10">
        <f t="shared" si="3"/>
        <v>0</v>
      </c>
      <c r="K42">
        <v>3</v>
      </c>
    </row>
    <row r="43" spans="1:11">
      <c r="A43" s="29" t="s">
        <v>129</v>
      </c>
      <c r="B43" s="29" t="s">
        <v>151</v>
      </c>
      <c r="C43" s="12" t="s">
        <v>225</v>
      </c>
      <c r="D43" s="10" t="s">
        <v>988</v>
      </c>
      <c r="E43" s="10" t="s">
        <v>988</v>
      </c>
      <c r="F43" s="10"/>
      <c r="G43" s="10">
        <f t="shared" si="1"/>
        <v>1</v>
      </c>
      <c r="H43" s="10">
        <f t="array" ref="H43">IF(SUMPRODUCT(Conf!$C28:$M28,TRANSPOSE($L$3:$L$13))&gt;0,G43*MAX($M$22:$M$25),0)</f>
        <v>3</v>
      </c>
      <c r="I43" s="10">
        <f t="shared" si="2"/>
        <v>0</v>
      </c>
      <c r="J43" s="10">
        <f t="shared" si="3"/>
        <v>0</v>
      </c>
      <c r="K43">
        <v>1</v>
      </c>
    </row>
    <row r="44" spans="1:11">
      <c r="A44" s="29" t="s">
        <v>129</v>
      </c>
      <c r="B44" s="29" t="s">
        <v>155</v>
      </c>
      <c r="C44" s="9" t="s">
        <v>989</v>
      </c>
      <c r="D44" s="10" t="s">
        <v>988</v>
      </c>
      <c r="E44" s="10" t="s">
        <v>988</v>
      </c>
      <c r="F44" s="10"/>
      <c r="G44" s="10">
        <f t="shared" si="1"/>
        <v>1</v>
      </c>
      <c r="H44" s="10">
        <f t="array" ref="H44">IF(SUMPRODUCT(Conf!$C29:$M29,TRANSPOSE($L$3:$L$13))&gt;0,G44*MAX($M$22:$M$25),0)</f>
        <v>3</v>
      </c>
      <c r="I44" s="10">
        <f t="shared" si="2"/>
        <v>0</v>
      </c>
      <c r="J44" s="10">
        <f t="shared" si="3"/>
        <v>0</v>
      </c>
      <c r="K44">
        <v>2</v>
      </c>
    </row>
    <row r="45" spans="1:11" hidden="1">
      <c r="A45" s="29" t="s">
        <v>228</v>
      </c>
      <c r="B45" s="29" t="s">
        <v>998</v>
      </c>
      <c r="C45" s="9" t="s">
        <v>989</v>
      </c>
      <c r="D45" s="10" t="s">
        <v>988</v>
      </c>
      <c r="E45" s="10" t="s">
        <v>988</v>
      </c>
      <c r="F45" s="10"/>
      <c r="G45" s="10">
        <f t="shared" si="1"/>
        <v>1</v>
      </c>
      <c r="H45" s="10">
        <f t="array" ref="H45">IF(SUMPRODUCT(Conf!$C30:$M30,TRANSPOSE($L$3:$L$13))&gt;0,G45*MAX($M$22:$M$25),0)</f>
        <v>0</v>
      </c>
      <c r="I45" s="10">
        <f t="shared" si="2"/>
        <v>0</v>
      </c>
      <c r="J45" s="10">
        <f t="shared" si="3"/>
        <v>0</v>
      </c>
      <c r="K45">
        <v>2</v>
      </c>
    </row>
    <row r="46" spans="1:11" hidden="1">
      <c r="A46" s="29" t="s">
        <v>228</v>
      </c>
      <c r="B46" s="29" t="s">
        <v>116</v>
      </c>
      <c r="C46" s="9" t="s">
        <v>989</v>
      </c>
      <c r="D46" s="10" t="s">
        <v>988</v>
      </c>
      <c r="E46" s="10" t="s">
        <v>988</v>
      </c>
      <c r="F46" s="10"/>
      <c r="G46" s="10">
        <f t="shared" si="1"/>
        <v>1</v>
      </c>
      <c r="H46" s="10">
        <f t="array" ref="H46">IF(SUMPRODUCT(Conf!$C31:$M31,TRANSPOSE($L$3:$L$13))&gt;0,G46*MAX($M$22:$M$25),0)</f>
        <v>0</v>
      </c>
      <c r="I46" s="10">
        <f t="shared" si="2"/>
        <v>0</v>
      </c>
      <c r="J46" s="10">
        <f t="shared" si="3"/>
        <v>0</v>
      </c>
      <c r="K46">
        <v>2</v>
      </c>
    </row>
    <row r="47" spans="1:11" hidden="1">
      <c r="A47" s="29" t="s">
        <v>228</v>
      </c>
      <c r="B47" s="29" t="s">
        <v>119</v>
      </c>
      <c r="C47" s="12" t="s">
        <v>225</v>
      </c>
      <c r="D47" s="10" t="s">
        <v>988</v>
      </c>
      <c r="E47" s="10" t="s">
        <v>988</v>
      </c>
      <c r="F47" s="10"/>
      <c r="G47" s="10">
        <f t="shared" si="1"/>
        <v>1</v>
      </c>
      <c r="H47" s="10">
        <f t="array" ref="H47">IF(SUMPRODUCT(Conf!$C32:$M32,TRANSPOSE($L$3:$L$13))&gt;0,G47*MAX($M$22:$M$25),0)</f>
        <v>0</v>
      </c>
      <c r="I47" s="10">
        <f t="shared" si="2"/>
        <v>0</v>
      </c>
      <c r="J47" s="10">
        <f t="shared" si="3"/>
        <v>0</v>
      </c>
      <c r="K47">
        <v>1</v>
      </c>
    </row>
    <row r="48" spans="1:11" hidden="1">
      <c r="A48" s="29" t="s">
        <v>228</v>
      </c>
      <c r="B48" s="29" t="s">
        <v>999</v>
      </c>
      <c r="C48" s="12" t="s">
        <v>225</v>
      </c>
      <c r="D48" s="10" t="s">
        <v>988</v>
      </c>
      <c r="E48" s="10" t="s">
        <v>988</v>
      </c>
      <c r="F48" s="10"/>
      <c r="G48" s="10">
        <f t="shared" si="1"/>
        <v>1</v>
      </c>
      <c r="H48" s="10">
        <f t="array" ref="H48">IF(SUMPRODUCT(Conf!$C33:$M33,TRANSPOSE($L$3:$L$13))&gt;0,G48*MAX($M$22:$M$25),0)</f>
        <v>0</v>
      </c>
      <c r="I48" s="10">
        <f t="shared" si="2"/>
        <v>0</v>
      </c>
      <c r="J48" s="10">
        <f t="shared" si="3"/>
        <v>0</v>
      </c>
      <c r="K48">
        <v>1</v>
      </c>
    </row>
    <row r="49" spans="1:11" hidden="1">
      <c r="A49" s="29" t="s">
        <v>171</v>
      </c>
      <c r="B49" s="29" t="s">
        <v>172</v>
      </c>
      <c r="C49" s="9" t="s">
        <v>989</v>
      </c>
      <c r="D49" s="10" t="s">
        <v>988</v>
      </c>
      <c r="E49" s="10" t="s">
        <v>988</v>
      </c>
      <c r="F49" s="10"/>
      <c r="G49" s="10">
        <f t="shared" si="1"/>
        <v>1</v>
      </c>
      <c r="H49" s="10">
        <f t="array" ref="H49">IF(SUMPRODUCT(Conf!$C34:$M34,TRANSPOSE($L$3:$L$13))&gt;0,G49*MAX($M$22:$M$25),0)</f>
        <v>0</v>
      </c>
      <c r="I49" s="10">
        <f t="shared" si="2"/>
        <v>0</v>
      </c>
      <c r="J49" s="10">
        <f t="shared" si="3"/>
        <v>0</v>
      </c>
      <c r="K49">
        <v>2</v>
      </c>
    </row>
    <row r="50" spans="1:11" hidden="1">
      <c r="A50" s="29" t="s">
        <v>171</v>
      </c>
      <c r="B50" s="29" t="s">
        <v>175</v>
      </c>
      <c r="C50" s="12" t="s">
        <v>225</v>
      </c>
      <c r="D50" s="10" t="s">
        <v>988</v>
      </c>
      <c r="E50" s="10" t="s">
        <v>988</v>
      </c>
      <c r="F50" s="10"/>
      <c r="G50" s="10">
        <f t="shared" si="1"/>
        <v>1</v>
      </c>
      <c r="H50" s="10">
        <f t="array" ref="H50">IF(SUMPRODUCT(Conf!$C35:$M35,TRANSPOSE($L$3:$L$13))&gt;0,G50*MAX($M$22:$M$25),0)</f>
        <v>0</v>
      </c>
      <c r="I50" s="10">
        <f t="shared" si="2"/>
        <v>0</v>
      </c>
      <c r="J50" s="10">
        <f t="shared" si="3"/>
        <v>0</v>
      </c>
      <c r="K50">
        <v>1</v>
      </c>
    </row>
    <row r="51" spans="1:11" hidden="1">
      <c r="A51" s="29" t="s">
        <v>171</v>
      </c>
      <c r="B51" s="29" t="s">
        <v>179</v>
      </c>
      <c r="C51" s="13" t="s">
        <v>987</v>
      </c>
      <c r="D51" s="10" t="s">
        <v>988</v>
      </c>
      <c r="E51" s="10" t="s">
        <v>988</v>
      </c>
      <c r="F51" s="10"/>
      <c r="G51" s="10">
        <f t="shared" si="1"/>
        <v>1</v>
      </c>
      <c r="H51" s="10">
        <f t="array" ref="H51">IF(SUMPRODUCT(Conf!$C36:$M36,TRANSPOSE($L$3:$L$13))&gt;0,G51*MAX($M$22:$M$25),0)</f>
        <v>0</v>
      </c>
      <c r="I51" s="10">
        <f t="shared" si="2"/>
        <v>0</v>
      </c>
      <c r="J51" s="10">
        <f t="shared" si="3"/>
        <v>0</v>
      </c>
      <c r="K51">
        <v>3</v>
      </c>
    </row>
    <row r="52" spans="1:11" hidden="1">
      <c r="A52" s="29" t="s">
        <v>171</v>
      </c>
      <c r="B52" s="29" t="s">
        <v>181</v>
      </c>
      <c r="C52" s="13" t="s">
        <v>987</v>
      </c>
      <c r="D52" s="10" t="s">
        <v>988</v>
      </c>
      <c r="E52" s="10" t="s">
        <v>988</v>
      </c>
      <c r="F52" s="10"/>
      <c r="G52" s="10">
        <f t="shared" si="1"/>
        <v>1</v>
      </c>
      <c r="H52" s="10">
        <f t="array" ref="H52">IF(SUMPRODUCT(Conf!$C37:$M37,TRANSPOSE($L$3:$L$13))&gt;0,G52*MAX($M$22:$M$25),0)</f>
        <v>0</v>
      </c>
      <c r="I52" s="10">
        <f t="shared" si="2"/>
        <v>0</v>
      </c>
      <c r="J52" s="10">
        <f t="shared" si="3"/>
        <v>0</v>
      </c>
      <c r="K52">
        <v>3</v>
      </c>
    </row>
    <row r="53" spans="1:11">
      <c r="A53" s="29" t="s">
        <v>186</v>
      </c>
      <c r="B53" s="29" t="s">
        <v>186</v>
      </c>
      <c r="C53" s="12" t="s">
        <v>225</v>
      </c>
      <c r="D53" s="10" t="s">
        <v>988</v>
      </c>
      <c r="E53" s="10" t="s">
        <v>988</v>
      </c>
      <c r="F53" s="10"/>
      <c r="G53" s="10">
        <f t="shared" si="1"/>
        <v>1</v>
      </c>
      <c r="H53" s="10">
        <f t="array" ref="H53">IF(SUMPRODUCT(Conf!$C38:$M38,TRANSPOSE($L$3:$L$13))&gt;0,G53*MAX($M$22:$M$25),0)</f>
        <v>3</v>
      </c>
      <c r="I53" s="10">
        <f t="shared" si="2"/>
        <v>0</v>
      </c>
      <c r="J53" s="10">
        <f t="shared" si="3"/>
        <v>0</v>
      </c>
      <c r="K53">
        <v>1</v>
      </c>
    </row>
    <row r="54" spans="1:11">
      <c r="G54" s="18">
        <f>SUM(G18:G53)</f>
        <v>36</v>
      </c>
    </row>
    <row r="55" spans="1:11" ht="21">
      <c r="G55" s="19"/>
    </row>
  </sheetData>
  <sortState xmlns:xlrd2="http://schemas.microsoft.com/office/spreadsheetml/2017/richdata2" ref="A18:K53">
    <sortCondition ref="A18:A53"/>
    <sortCondition ref="B18:B53"/>
  </sortState>
  <mergeCells count="3">
    <mergeCell ref="A3:A13"/>
    <mergeCell ref="A15:J15"/>
    <mergeCell ref="A2:C2"/>
  </mergeCells>
  <conditionalFormatting sqref="E18:F53">
    <cfRule type="expression" dxfId="4" priority="8">
      <formula>IF($H18=0,TRUE,FALSE)</formula>
    </cfRule>
  </conditionalFormatting>
  <conditionalFormatting sqref="J18:J53 G18:H53">
    <cfRule type="expression" dxfId="3" priority="7">
      <formula>IF(OR($H18=0,G$17=0),TRUE,FALSE)</formula>
    </cfRule>
  </conditionalFormatting>
  <conditionalFormatting sqref="D18:E53">
    <cfRule type="expression" dxfId="2" priority="6">
      <formula>IF($H18=0,TRUE,FALSE)</formula>
    </cfRule>
  </conditionalFormatting>
  <conditionalFormatting sqref="I18:I53">
    <cfRule type="expression" dxfId="1" priority="5">
      <formula>IF(OR($H18=0,I$17=0),TRUE,FALSE)</formula>
    </cfRule>
  </conditionalFormatting>
  <conditionalFormatting sqref="C3:C13">
    <cfRule type="cellIs" dxfId="0" priority="1" operator="equal">
      <formula>"Yes"</formula>
    </cfRule>
  </conditionalFormatting>
  <dataValidations count="4">
    <dataValidation type="list" allowBlank="1" showInputMessage="1" showErrorMessage="1" sqref="F18:F53" xr:uid="{E01C38C9-1241-4D03-A9BB-08549BE63D47}">
      <formula1>$L$28:$L$32</formula1>
    </dataValidation>
    <dataValidation type="list" allowBlank="1" showInputMessage="1" showErrorMessage="1" sqref="L22:L25" xr:uid="{16BED8B4-F1C9-4BA8-B0F1-6A22846A5CFC}">
      <formula1>"Not Used,Planned,Early Adoption, Partial, Full"</formula1>
    </dataValidation>
    <dataValidation type="list" allowBlank="1" showInputMessage="1" showErrorMessage="1" sqref="D18:E53" xr:uid="{D1A88AF8-215A-4EC3-A90B-157A4C4087F5}">
      <formula1>$L$22:$L$25</formula1>
    </dataValidation>
    <dataValidation type="list" allowBlank="1" showInputMessage="1" showErrorMessage="1" sqref="C3:C13" xr:uid="{B41ACAC0-BFB3-46F1-BD54-C1612A655E5D}">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ortByLevel">
                <anchor moveWithCells="1" sizeWithCells="1">
                  <from>
                    <xdr:col>1</xdr:col>
                    <xdr:colOff>3200400</xdr:colOff>
                    <xdr:row>14</xdr:row>
                    <xdr:rowOff>38100</xdr:rowOff>
                  </from>
                  <to>
                    <xdr:col>3</xdr:col>
                    <xdr:colOff>281940</xdr:colOff>
                    <xdr:row>14</xdr:row>
                    <xdr:rowOff>259080</xdr:rowOff>
                  </to>
                </anchor>
              </controlPr>
            </control>
          </mc:Choice>
        </mc:AlternateContent>
        <mc:AlternateContent xmlns:mc="http://schemas.openxmlformats.org/markup-compatibility/2006">
          <mc:Choice Requires="x14">
            <control shapeId="1028" r:id="rId5" name="Button 4">
              <controlPr defaultSize="0" print="0" autoFill="0" autoPict="0" macro="[0]!SortByLevers">
                <anchor moveWithCells="1" sizeWithCells="1">
                  <from>
                    <xdr:col>1</xdr:col>
                    <xdr:colOff>2049780</xdr:colOff>
                    <xdr:row>14</xdr:row>
                    <xdr:rowOff>53340</xdr:rowOff>
                  </from>
                  <to>
                    <xdr:col>1</xdr:col>
                    <xdr:colOff>3154680</xdr:colOff>
                    <xdr:row>14</xdr:row>
                    <xdr:rowOff>259080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F1E55-22A3-42DC-B2F5-6F01004EA739}">
  <sheetPr codeName="Sheet3"/>
  <dimension ref="B1:H38"/>
  <sheetViews>
    <sheetView zoomScale="85" zoomScaleNormal="85" workbookViewId="0">
      <selection activeCell="A23" sqref="A23:B53"/>
    </sheetView>
  </sheetViews>
  <sheetFormatPr defaultRowHeight="14.4"/>
  <cols>
    <col min="2" max="2" width="48.44140625" customWidth="1"/>
    <col min="4" max="4" width="45.5546875" customWidth="1"/>
    <col min="5" max="5" width="42.88671875" customWidth="1"/>
    <col min="6" max="6" width="3.109375" customWidth="1"/>
    <col min="7" max="7" width="40.88671875" bestFit="1" customWidth="1"/>
    <col min="8" max="8" width="47.109375" bestFit="1" customWidth="1"/>
  </cols>
  <sheetData>
    <row r="1" spans="2:8">
      <c r="B1" s="27" t="s">
        <v>1000</v>
      </c>
      <c r="C1" s="27"/>
      <c r="D1" s="27" t="s">
        <v>1001</v>
      </c>
      <c r="E1" s="27" t="s">
        <v>1002</v>
      </c>
      <c r="F1" s="27"/>
      <c r="G1" s="27" t="s">
        <v>1003</v>
      </c>
      <c r="H1" s="26"/>
    </row>
    <row r="2" spans="2:8">
      <c r="G2" s="4" t="s">
        <v>2</v>
      </c>
      <c r="H2" s="21" t="s">
        <v>3</v>
      </c>
    </row>
    <row r="3" spans="2:8">
      <c r="D3" s="24" t="s">
        <v>1004</v>
      </c>
      <c r="G3" s="7" t="s">
        <v>49</v>
      </c>
      <c r="H3" s="8" t="s">
        <v>50</v>
      </c>
    </row>
    <row r="4" spans="2:8">
      <c r="D4" s="24" t="s">
        <v>1005</v>
      </c>
      <c r="G4" s="7" t="s">
        <v>49</v>
      </c>
      <c r="H4" s="8" t="s">
        <v>54</v>
      </c>
    </row>
    <row r="5" spans="2:8">
      <c r="G5" s="7" t="s">
        <v>49</v>
      </c>
      <c r="H5" s="8" t="s">
        <v>1006</v>
      </c>
    </row>
    <row r="6" spans="2:8">
      <c r="G6" s="7" t="s">
        <v>49</v>
      </c>
      <c r="H6" s="8" t="s">
        <v>1007</v>
      </c>
    </row>
    <row r="7" spans="2:8">
      <c r="G7" s="7" t="s">
        <v>63</v>
      </c>
      <c r="H7" s="8" t="s">
        <v>64</v>
      </c>
    </row>
    <row r="8" spans="2:8">
      <c r="G8" s="7" t="s">
        <v>63</v>
      </c>
      <c r="H8" s="8" t="s">
        <v>70</v>
      </c>
    </row>
    <row r="9" spans="2:8">
      <c r="G9" s="7" t="s">
        <v>63</v>
      </c>
      <c r="H9" s="8" t="s">
        <v>75</v>
      </c>
    </row>
    <row r="10" spans="2:8">
      <c r="D10" s="25" t="s">
        <v>1008</v>
      </c>
      <c r="E10" s="24" t="s">
        <v>1009</v>
      </c>
      <c r="G10" s="7" t="s">
        <v>63</v>
      </c>
      <c r="H10" s="8" t="s">
        <v>79</v>
      </c>
    </row>
    <row r="11" spans="2:8">
      <c r="G11" s="7" t="s">
        <v>99</v>
      </c>
      <c r="H11" s="8" t="s">
        <v>100</v>
      </c>
    </row>
    <row r="12" spans="2:8">
      <c r="D12" s="25" t="s">
        <v>99</v>
      </c>
      <c r="G12" s="7" t="s">
        <v>99</v>
      </c>
      <c r="H12" s="8" t="s">
        <v>105</v>
      </c>
    </row>
    <row r="13" spans="2:8">
      <c r="G13" s="7" t="s">
        <v>99</v>
      </c>
      <c r="H13" s="8" t="s">
        <v>110</v>
      </c>
    </row>
    <row r="14" spans="2:8">
      <c r="D14" s="24" t="s">
        <v>1010</v>
      </c>
      <c r="G14" s="7" t="s">
        <v>1011</v>
      </c>
      <c r="H14" s="8" t="s">
        <v>133</v>
      </c>
    </row>
    <row r="15" spans="2:8">
      <c r="D15" s="25" t="s">
        <v>1012</v>
      </c>
      <c r="G15" s="7" t="s">
        <v>1011</v>
      </c>
      <c r="H15" s="8" t="s">
        <v>137</v>
      </c>
    </row>
    <row r="16" spans="2:8">
      <c r="G16" s="7" t="s">
        <v>1011</v>
      </c>
      <c r="H16" s="8" t="s">
        <v>140</v>
      </c>
    </row>
    <row r="17" spans="2:8">
      <c r="B17" s="23" t="s">
        <v>1013</v>
      </c>
      <c r="G17" s="7" t="s">
        <v>1011</v>
      </c>
      <c r="H17" s="8" t="s">
        <v>996</v>
      </c>
    </row>
    <row r="18" spans="2:8">
      <c r="B18" s="23" t="s">
        <v>1014</v>
      </c>
      <c r="G18" s="7" t="s">
        <v>1011</v>
      </c>
      <c r="H18" s="8" t="s">
        <v>997</v>
      </c>
    </row>
    <row r="19" spans="2:8">
      <c r="B19" s="25" t="s">
        <v>1015</v>
      </c>
      <c r="G19" s="7" t="s">
        <v>1011</v>
      </c>
      <c r="H19" s="8" t="s">
        <v>144</v>
      </c>
    </row>
    <row r="20" spans="2:8">
      <c r="B20" s="23" t="s">
        <v>1016</v>
      </c>
      <c r="G20" s="7" t="s">
        <v>1011</v>
      </c>
      <c r="H20" s="8" t="s">
        <v>148</v>
      </c>
    </row>
    <row r="21" spans="2:8">
      <c r="B21" s="23" t="s">
        <v>1017</v>
      </c>
      <c r="G21" s="7" t="s">
        <v>1011</v>
      </c>
      <c r="H21" s="8" t="s">
        <v>151</v>
      </c>
    </row>
    <row r="22" spans="2:8">
      <c r="B22" s="25" t="s">
        <v>1018</v>
      </c>
      <c r="D22" s="24" t="s">
        <v>1019</v>
      </c>
      <c r="E22" s="25" t="s">
        <v>1020</v>
      </c>
      <c r="G22" s="7" t="s">
        <v>1011</v>
      </c>
      <c r="H22" s="8" t="s">
        <v>155</v>
      </c>
    </row>
    <row r="23" spans="2:8">
      <c r="G23" s="7" t="s">
        <v>1021</v>
      </c>
      <c r="H23" s="8" t="s">
        <v>12</v>
      </c>
    </row>
    <row r="24" spans="2:8">
      <c r="G24" s="7" t="s">
        <v>1021</v>
      </c>
      <c r="H24" s="8" t="s">
        <v>16</v>
      </c>
    </row>
    <row r="25" spans="2:8">
      <c r="D25" s="22" t="s">
        <v>1022</v>
      </c>
      <c r="G25" s="7" t="s">
        <v>1021</v>
      </c>
      <c r="H25" s="8" t="s">
        <v>1022</v>
      </c>
    </row>
    <row r="26" spans="2:8">
      <c r="G26" s="7" t="s">
        <v>1021</v>
      </c>
      <c r="H26" s="8" t="s">
        <v>26</v>
      </c>
    </row>
    <row r="27" spans="2:8">
      <c r="G27" s="7" t="s">
        <v>1021</v>
      </c>
      <c r="H27" s="8" t="s">
        <v>29</v>
      </c>
    </row>
    <row r="28" spans="2:8">
      <c r="D28" s="23" t="s">
        <v>1023</v>
      </c>
      <c r="E28" s="23" t="s">
        <v>1024</v>
      </c>
      <c r="G28" s="7" t="s">
        <v>1021</v>
      </c>
      <c r="H28" s="8" t="s">
        <v>33</v>
      </c>
    </row>
    <row r="29" spans="2:8">
      <c r="D29" s="24" t="s">
        <v>1025</v>
      </c>
      <c r="G29" s="7" t="s">
        <v>1021</v>
      </c>
      <c r="H29" s="8" t="s">
        <v>1025</v>
      </c>
    </row>
    <row r="30" spans="2:8">
      <c r="G30" s="7" t="s">
        <v>228</v>
      </c>
      <c r="H30" s="8" t="s">
        <v>998</v>
      </c>
    </row>
    <row r="31" spans="2:8">
      <c r="G31" s="7" t="s">
        <v>228</v>
      </c>
      <c r="H31" s="8" t="s">
        <v>116</v>
      </c>
    </row>
    <row r="32" spans="2:8">
      <c r="D32" s="24" t="s">
        <v>1026</v>
      </c>
      <c r="G32" s="7" t="s">
        <v>228</v>
      </c>
      <c r="H32" s="8" t="s">
        <v>119</v>
      </c>
    </row>
    <row r="33" spans="4:8">
      <c r="G33" s="7" t="s">
        <v>228</v>
      </c>
      <c r="H33" s="8" t="s">
        <v>1027</v>
      </c>
    </row>
    <row r="34" spans="4:8">
      <c r="G34" s="16" t="s">
        <v>171</v>
      </c>
      <c r="H34" s="17" t="s">
        <v>172</v>
      </c>
    </row>
    <row r="35" spans="4:8">
      <c r="D35" s="25" t="s">
        <v>1028</v>
      </c>
      <c r="G35" s="7" t="s">
        <v>171</v>
      </c>
      <c r="H35" s="8" t="s">
        <v>175</v>
      </c>
    </row>
    <row r="36" spans="4:8">
      <c r="G36" s="16" t="s">
        <v>171</v>
      </c>
      <c r="H36" s="17" t="s">
        <v>179</v>
      </c>
    </row>
    <row r="37" spans="4:8">
      <c r="D37" s="25" t="s">
        <v>369</v>
      </c>
      <c r="E37" s="24" t="s">
        <v>1029</v>
      </c>
      <c r="G37" s="16" t="s">
        <v>171</v>
      </c>
      <c r="H37" s="17" t="s">
        <v>181</v>
      </c>
    </row>
    <row r="38" spans="4:8">
      <c r="D38" s="23" t="s">
        <v>1030</v>
      </c>
      <c r="G38" s="8" t="s">
        <v>186</v>
      </c>
      <c r="H38" s="8" t="s">
        <v>186</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BA0B2-8C84-4DB9-979B-664D84AA2902}">
  <sheetPr codeName="Sheet4"/>
  <dimension ref="B2:M38"/>
  <sheetViews>
    <sheetView topLeftCell="A12" zoomScale="85" zoomScaleNormal="85" workbookViewId="0">
      <selection activeCell="A23" sqref="A23:B53"/>
    </sheetView>
  </sheetViews>
  <sheetFormatPr defaultRowHeight="14.4"/>
  <cols>
    <col min="2" max="2" width="55" customWidth="1"/>
    <col min="3" max="4" width="4.88671875" bestFit="1" customWidth="1"/>
    <col min="5" max="5" width="7.44140625" bestFit="1" customWidth="1"/>
    <col min="6" max="6" width="13" customWidth="1"/>
    <col min="7" max="7" width="8.109375" bestFit="1" customWidth="1"/>
    <col min="8" max="8" width="7" bestFit="1" customWidth="1"/>
    <col min="9" max="9" width="8.44140625" bestFit="1" customWidth="1"/>
    <col min="10" max="10" width="4.88671875" bestFit="1" customWidth="1"/>
    <col min="11" max="11" width="7.109375" bestFit="1" customWidth="1"/>
    <col min="12" max="12" width="11.44140625" customWidth="1"/>
    <col min="13" max="13" width="11.88671875" customWidth="1"/>
  </cols>
  <sheetData>
    <row r="2" spans="2:13" ht="28.8">
      <c r="C2" s="2" t="s">
        <v>962</v>
      </c>
      <c r="D2" s="2" t="s">
        <v>963</v>
      </c>
      <c r="E2" s="2" t="s">
        <v>964</v>
      </c>
      <c r="F2" s="3" t="s">
        <v>965</v>
      </c>
      <c r="G2" s="2" t="s">
        <v>900</v>
      </c>
      <c r="H2" s="2" t="s">
        <v>966</v>
      </c>
      <c r="I2" s="2" t="s">
        <v>967</v>
      </c>
      <c r="J2" s="2" t="s">
        <v>968</v>
      </c>
      <c r="K2" s="2" t="s">
        <v>971</v>
      </c>
      <c r="L2" s="3" t="s">
        <v>973</v>
      </c>
      <c r="M2" s="3" t="s">
        <v>1031</v>
      </c>
    </row>
    <row r="3" spans="2:13">
      <c r="B3" s="29" t="s">
        <v>12</v>
      </c>
      <c r="C3" s="11"/>
      <c r="D3" s="11"/>
      <c r="E3" s="11"/>
      <c r="F3" s="11"/>
      <c r="G3" s="11"/>
      <c r="H3" s="11"/>
      <c r="I3" s="11"/>
      <c r="J3" s="11"/>
      <c r="K3" s="11"/>
      <c r="L3" s="11">
        <v>1</v>
      </c>
      <c r="M3" s="11"/>
    </row>
    <row r="4" spans="2:13">
      <c r="B4" s="29" t="s">
        <v>16</v>
      </c>
      <c r="C4" s="11"/>
      <c r="D4" s="11"/>
      <c r="E4" s="11"/>
      <c r="F4" s="11"/>
      <c r="G4" s="11"/>
      <c r="H4" s="11"/>
      <c r="I4" s="11"/>
      <c r="J4" s="11"/>
      <c r="K4" s="11"/>
      <c r="L4" s="11">
        <v>1</v>
      </c>
      <c r="M4" s="11"/>
    </row>
    <row r="5" spans="2:13">
      <c r="B5" s="29" t="s">
        <v>26</v>
      </c>
      <c r="C5" s="11"/>
      <c r="D5" s="11"/>
      <c r="E5" s="11"/>
      <c r="F5" s="11"/>
      <c r="G5" s="11"/>
      <c r="H5" s="11"/>
      <c r="I5" s="11"/>
      <c r="J5" s="11"/>
      <c r="K5" s="11"/>
      <c r="L5" s="11">
        <v>1</v>
      </c>
      <c r="M5" s="11"/>
    </row>
    <row r="6" spans="2:13">
      <c r="B6" s="29" t="s">
        <v>29</v>
      </c>
      <c r="C6" s="11"/>
      <c r="D6" s="11"/>
      <c r="E6" s="11"/>
      <c r="F6" s="11"/>
      <c r="G6" s="11"/>
      <c r="H6" s="11"/>
      <c r="I6" s="11"/>
      <c r="J6" s="11"/>
      <c r="K6" s="11"/>
      <c r="L6" s="11">
        <v>1</v>
      </c>
      <c r="M6" s="11"/>
    </row>
    <row r="7" spans="2:13">
      <c r="B7" s="29" t="s">
        <v>33</v>
      </c>
      <c r="C7" s="11"/>
      <c r="D7" s="11"/>
      <c r="E7" s="11"/>
      <c r="F7" s="11"/>
      <c r="G7" s="11"/>
      <c r="H7" s="11"/>
      <c r="I7" s="11"/>
      <c r="J7" s="11"/>
      <c r="K7" s="11"/>
      <c r="L7" s="11">
        <v>1</v>
      </c>
      <c r="M7" s="11"/>
    </row>
    <row r="8" spans="2:13">
      <c r="B8" s="29" t="s">
        <v>20</v>
      </c>
      <c r="C8" s="11">
        <v>1</v>
      </c>
      <c r="D8" s="11">
        <v>1</v>
      </c>
      <c r="E8" s="11">
        <v>1</v>
      </c>
      <c r="F8" s="11">
        <v>1</v>
      </c>
      <c r="G8" s="11"/>
      <c r="H8" s="11"/>
      <c r="I8" s="11"/>
      <c r="J8" s="11">
        <v>1</v>
      </c>
      <c r="K8" s="11"/>
      <c r="L8" s="11">
        <v>1</v>
      </c>
      <c r="M8" s="11">
        <v>1</v>
      </c>
    </row>
    <row r="9" spans="2:13">
      <c r="B9" s="29" t="s">
        <v>40</v>
      </c>
      <c r="C9" s="11">
        <v>1</v>
      </c>
      <c r="D9" s="11">
        <v>1</v>
      </c>
      <c r="E9" s="11">
        <v>1</v>
      </c>
      <c r="F9" s="11">
        <v>1</v>
      </c>
      <c r="G9" s="11"/>
      <c r="H9" s="11"/>
      <c r="I9" s="11"/>
      <c r="J9" s="11">
        <v>1</v>
      </c>
      <c r="K9" s="11"/>
      <c r="L9" s="11">
        <v>1</v>
      </c>
      <c r="M9" s="11">
        <v>1</v>
      </c>
    </row>
    <row r="10" spans="2:13">
      <c r="B10" s="29" t="s">
        <v>59</v>
      </c>
      <c r="C10" s="11"/>
      <c r="D10" s="11"/>
      <c r="E10" s="11"/>
      <c r="F10" s="11"/>
      <c r="G10" s="11"/>
      <c r="H10" s="11"/>
      <c r="I10" s="11">
        <v>1</v>
      </c>
      <c r="J10" s="11">
        <v>1</v>
      </c>
      <c r="K10" s="11"/>
      <c r="L10" s="11"/>
      <c r="M10" s="11"/>
    </row>
    <row r="11" spans="2:13">
      <c r="B11" s="29" t="s">
        <v>50</v>
      </c>
      <c r="C11" s="11"/>
      <c r="D11" s="11"/>
      <c r="E11" s="11"/>
      <c r="F11" s="11"/>
      <c r="G11" s="11"/>
      <c r="H11" s="11"/>
      <c r="I11" s="11"/>
      <c r="J11" s="11"/>
      <c r="K11" s="11">
        <v>1</v>
      </c>
      <c r="L11" s="11"/>
      <c r="M11" s="11"/>
    </row>
    <row r="12" spans="2:13">
      <c r="B12" s="29" t="s">
        <v>54</v>
      </c>
      <c r="C12" s="11"/>
      <c r="D12" s="11"/>
      <c r="E12" s="11"/>
      <c r="F12" s="11"/>
      <c r="G12" s="11"/>
      <c r="H12" s="11"/>
      <c r="I12" s="11">
        <v>1</v>
      </c>
      <c r="J12" s="11">
        <v>1</v>
      </c>
      <c r="K12" s="11">
        <v>1</v>
      </c>
      <c r="L12" s="11"/>
      <c r="M12" s="11"/>
    </row>
    <row r="13" spans="2:13">
      <c r="B13" s="29" t="s">
        <v>130</v>
      </c>
      <c r="C13" s="11"/>
      <c r="D13" s="11"/>
      <c r="E13" s="11"/>
      <c r="F13" s="11"/>
      <c r="G13" s="11"/>
      <c r="H13" s="11"/>
      <c r="I13" s="11"/>
      <c r="J13" s="11"/>
      <c r="K13" s="11"/>
      <c r="L13" s="11"/>
      <c r="M13" s="11">
        <v>1</v>
      </c>
    </row>
    <row r="14" spans="2:13">
      <c r="B14" s="29" t="s">
        <v>64</v>
      </c>
      <c r="C14" s="11"/>
      <c r="D14" s="11"/>
      <c r="E14" s="11"/>
      <c r="F14" s="11"/>
      <c r="G14" s="11">
        <v>1</v>
      </c>
      <c r="H14" s="11">
        <v>1</v>
      </c>
      <c r="I14" s="11">
        <v>1</v>
      </c>
      <c r="J14" s="11"/>
      <c r="K14" s="11"/>
      <c r="L14" s="11"/>
      <c r="M14" s="11"/>
    </row>
    <row r="15" spans="2:13">
      <c r="B15" s="29" t="s">
        <v>70</v>
      </c>
      <c r="C15" s="11"/>
      <c r="D15" s="11"/>
      <c r="E15" s="11"/>
      <c r="F15" s="11"/>
      <c r="G15" s="11">
        <v>1</v>
      </c>
      <c r="H15" s="11">
        <v>1</v>
      </c>
      <c r="I15" s="11">
        <v>1</v>
      </c>
      <c r="J15" s="11"/>
      <c r="K15" s="11"/>
      <c r="L15" s="11"/>
      <c r="M15" s="11"/>
    </row>
    <row r="16" spans="2:13">
      <c r="B16" s="29" t="s">
        <v>75</v>
      </c>
      <c r="C16" s="11"/>
      <c r="D16" s="11"/>
      <c r="E16" s="11"/>
      <c r="F16" s="11"/>
      <c r="G16" s="11">
        <v>1</v>
      </c>
      <c r="H16" s="11">
        <v>1</v>
      </c>
      <c r="I16" s="11">
        <v>1</v>
      </c>
      <c r="J16" s="11"/>
      <c r="K16" s="11"/>
      <c r="L16" s="11"/>
      <c r="M16" s="11"/>
    </row>
    <row r="17" spans="2:13">
      <c r="B17" s="29" t="s">
        <v>79</v>
      </c>
      <c r="C17" s="11"/>
      <c r="D17" s="11"/>
      <c r="E17" s="11"/>
      <c r="F17" s="11"/>
      <c r="G17" s="11"/>
      <c r="H17" s="11">
        <v>1</v>
      </c>
      <c r="I17" s="11">
        <v>1</v>
      </c>
      <c r="J17" s="11"/>
      <c r="K17" s="11"/>
      <c r="L17" s="11"/>
      <c r="M17" s="11"/>
    </row>
    <row r="18" spans="2:13">
      <c r="B18" s="29" t="s">
        <v>105</v>
      </c>
      <c r="C18" s="11"/>
      <c r="D18" s="11"/>
      <c r="E18" s="11"/>
      <c r="F18" s="11"/>
      <c r="G18" s="11"/>
      <c r="H18" s="11"/>
      <c r="I18" s="11"/>
      <c r="J18" s="11">
        <v>1</v>
      </c>
      <c r="K18" s="11"/>
      <c r="L18" s="11"/>
      <c r="M18" s="11"/>
    </row>
    <row r="19" spans="2:13">
      <c r="B19" s="29" t="s">
        <v>110</v>
      </c>
      <c r="C19" s="11"/>
      <c r="D19" s="11"/>
      <c r="E19" s="11"/>
      <c r="F19" s="11"/>
      <c r="G19" s="11"/>
      <c r="H19" s="11"/>
      <c r="I19" s="11"/>
      <c r="J19" s="11">
        <v>1</v>
      </c>
      <c r="K19" s="11"/>
      <c r="L19" s="11"/>
      <c r="M19" s="11"/>
    </row>
    <row r="20" spans="2:13">
      <c r="B20" s="29" t="s">
        <v>100</v>
      </c>
      <c r="C20" s="11"/>
      <c r="D20" s="11"/>
      <c r="E20" s="11"/>
      <c r="F20" s="11"/>
      <c r="G20" s="11"/>
      <c r="H20" s="11"/>
      <c r="I20" s="11"/>
      <c r="J20" s="11">
        <v>1</v>
      </c>
      <c r="K20" s="11"/>
      <c r="L20" s="11"/>
      <c r="M20" s="11"/>
    </row>
    <row r="21" spans="2:13">
      <c r="B21" s="29" t="s">
        <v>133</v>
      </c>
      <c r="C21" s="11"/>
      <c r="D21" s="11">
        <v>1</v>
      </c>
      <c r="E21" s="11">
        <v>1</v>
      </c>
      <c r="F21" s="11">
        <v>1</v>
      </c>
      <c r="G21" s="11"/>
      <c r="H21" s="11"/>
      <c r="I21" s="11"/>
      <c r="J21" s="11"/>
      <c r="K21" s="11"/>
      <c r="L21" s="11"/>
      <c r="M21" s="11"/>
    </row>
    <row r="22" spans="2:13">
      <c r="B22" s="29" t="s">
        <v>137</v>
      </c>
      <c r="C22" s="11"/>
      <c r="D22" s="11">
        <v>1</v>
      </c>
      <c r="E22" s="11">
        <v>1</v>
      </c>
      <c r="F22" s="11">
        <v>1</v>
      </c>
      <c r="G22" s="11"/>
      <c r="H22" s="11"/>
      <c r="I22" s="11"/>
      <c r="J22" s="11"/>
      <c r="K22" s="11"/>
      <c r="L22" s="11"/>
      <c r="M22" s="11"/>
    </row>
    <row r="23" spans="2:13">
      <c r="B23" s="29" t="s">
        <v>140</v>
      </c>
      <c r="C23" s="11"/>
      <c r="D23" s="11"/>
      <c r="E23" s="11"/>
      <c r="F23" s="11"/>
      <c r="G23" s="11"/>
      <c r="H23" s="11"/>
      <c r="I23" s="11"/>
      <c r="J23" s="11"/>
      <c r="K23" s="11"/>
      <c r="L23" s="11"/>
      <c r="M23" s="11">
        <v>1</v>
      </c>
    </row>
    <row r="24" spans="2:13">
      <c r="B24" s="29" t="s">
        <v>996</v>
      </c>
      <c r="C24" s="11"/>
      <c r="D24" s="11"/>
      <c r="E24" s="11"/>
      <c r="F24" s="11"/>
      <c r="G24" s="11"/>
      <c r="H24" s="11"/>
      <c r="I24" s="11"/>
      <c r="J24" s="11"/>
      <c r="K24" s="11"/>
      <c r="L24" s="11"/>
      <c r="M24" s="11">
        <v>1</v>
      </c>
    </row>
    <row r="25" spans="2:13">
      <c r="B25" s="29" t="s">
        <v>997</v>
      </c>
      <c r="C25" s="11"/>
      <c r="D25" s="11"/>
      <c r="E25" s="11"/>
      <c r="F25" s="11"/>
      <c r="G25" s="11"/>
      <c r="H25" s="11"/>
      <c r="I25" s="11"/>
      <c r="J25" s="11"/>
      <c r="K25" s="11"/>
      <c r="L25" s="11"/>
      <c r="M25" s="11">
        <v>1</v>
      </c>
    </row>
    <row r="26" spans="2:13">
      <c r="B26" s="29" t="s">
        <v>144</v>
      </c>
      <c r="C26" s="11"/>
      <c r="D26" s="11"/>
      <c r="E26" s="11"/>
      <c r="F26" s="11"/>
      <c r="G26" s="11"/>
      <c r="H26" s="11"/>
      <c r="I26" s="11"/>
      <c r="J26" s="11"/>
      <c r="K26" s="11"/>
      <c r="L26" s="11"/>
      <c r="M26" s="11">
        <v>1</v>
      </c>
    </row>
    <row r="27" spans="2:13">
      <c r="B27" s="29" t="s">
        <v>148</v>
      </c>
      <c r="C27" s="11"/>
      <c r="D27" s="11">
        <v>1</v>
      </c>
      <c r="E27" s="11">
        <v>1</v>
      </c>
      <c r="F27" s="11">
        <v>1</v>
      </c>
      <c r="G27" s="11"/>
      <c r="H27" s="11"/>
      <c r="I27" s="11"/>
      <c r="J27" s="11"/>
      <c r="K27" s="11"/>
      <c r="L27" s="11"/>
      <c r="M27" s="11">
        <v>1</v>
      </c>
    </row>
    <row r="28" spans="2:13">
      <c r="B28" s="29" t="s">
        <v>151</v>
      </c>
      <c r="C28" s="11">
        <v>1</v>
      </c>
      <c r="D28" s="11">
        <v>1</v>
      </c>
      <c r="E28" s="11">
        <v>1</v>
      </c>
      <c r="F28" s="11">
        <v>1</v>
      </c>
      <c r="G28" s="11"/>
      <c r="H28" s="11"/>
      <c r="I28" s="11"/>
      <c r="J28" s="11"/>
      <c r="K28" s="11">
        <v>1</v>
      </c>
      <c r="L28" s="11"/>
      <c r="M28" s="11">
        <v>1</v>
      </c>
    </row>
    <row r="29" spans="2:13">
      <c r="B29" s="29" t="s">
        <v>155</v>
      </c>
      <c r="C29" s="11">
        <v>1</v>
      </c>
      <c r="D29" s="11">
        <v>1</v>
      </c>
      <c r="E29" s="11">
        <v>1</v>
      </c>
      <c r="F29" s="11">
        <v>1</v>
      </c>
      <c r="G29" s="11"/>
      <c r="H29" s="11"/>
      <c r="I29" s="11"/>
      <c r="J29" s="11"/>
      <c r="K29" s="11">
        <v>1</v>
      </c>
      <c r="L29" s="11"/>
      <c r="M29" s="11">
        <v>1</v>
      </c>
    </row>
    <row r="30" spans="2:13">
      <c r="B30" s="29" t="s">
        <v>998</v>
      </c>
      <c r="C30" s="11"/>
      <c r="D30" s="11"/>
      <c r="E30" s="11"/>
      <c r="F30" s="11"/>
      <c r="G30" s="11"/>
      <c r="H30" s="11"/>
      <c r="I30" s="11"/>
      <c r="J30" s="11">
        <v>1</v>
      </c>
      <c r="K30" s="11"/>
      <c r="L30" s="11"/>
      <c r="M30" s="11"/>
    </row>
    <row r="31" spans="2:13">
      <c r="B31" s="29" t="s">
        <v>116</v>
      </c>
      <c r="C31" s="11"/>
      <c r="D31" s="11"/>
      <c r="E31" s="11"/>
      <c r="F31" s="11"/>
      <c r="G31" s="11"/>
      <c r="H31" s="11"/>
      <c r="I31" s="11"/>
      <c r="J31" s="11">
        <v>1</v>
      </c>
      <c r="K31" s="11"/>
      <c r="L31" s="11"/>
      <c r="M31" s="11"/>
    </row>
    <row r="32" spans="2:13">
      <c r="B32" s="29" t="s">
        <v>119</v>
      </c>
      <c r="C32" s="11"/>
      <c r="D32" s="11"/>
      <c r="E32" s="11"/>
      <c r="F32" s="11"/>
      <c r="G32" s="11"/>
      <c r="H32" s="11"/>
      <c r="I32" s="11"/>
      <c r="J32" s="11">
        <v>1</v>
      </c>
      <c r="K32" s="11"/>
      <c r="L32" s="11"/>
      <c r="M32" s="11"/>
    </row>
    <row r="33" spans="2:13">
      <c r="B33" s="29" t="s">
        <v>999</v>
      </c>
      <c r="C33" s="11"/>
      <c r="D33" s="11"/>
      <c r="E33" s="11"/>
      <c r="F33" s="11"/>
      <c r="G33" s="11"/>
      <c r="H33" s="11"/>
      <c r="I33" s="11"/>
      <c r="J33" s="11">
        <v>1</v>
      </c>
      <c r="K33" s="11"/>
      <c r="L33" s="11"/>
      <c r="M33" s="11"/>
    </row>
    <row r="34" spans="2:13">
      <c r="B34" s="29" t="s">
        <v>172</v>
      </c>
      <c r="C34" s="11">
        <v>1</v>
      </c>
      <c r="D34" s="11">
        <v>1</v>
      </c>
      <c r="E34" s="11">
        <v>1</v>
      </c>
      <c r="F34" s="11"/>
      <c r="G34" s="11"/>
      <c r="H34" s="11"/>
      <c r="I34" s="11"/>
      <c r="J34" s="11"/>
      <c r="K34" s="11"/>
      <c r="L34" s="11"/>
      <c r="M34" s="11"/>
    </row>
    <row r="35" spans="2:13">
      <c r="B35" s="29" t="s">
        <v>175</v>
      </c>
      <c r="C35" s="11">
        <v>1</v>
      </c>
      <c r="D35" s="11">
        <v>1</v>
      </c>
      <c r="E35" s="11">
        <v>1</v>
      </c>
      <c r="F35" s="11"/>
      <c r="G35" s="11"/>
      <c r="H35" s="11"/>
      <c r="I35" s="11"/>
      <c r="J35" s="11"/>
      <c r="K35" s="11"/>
      <c r="L35" s="11"/>
      <c r="M35" s="11"/>
    </row>
    <row r="36" spans="2:13">
      <c r="B36" s="29" t="s">
        <v>179</v>
      </c>
      <c r="C36" s="11">
        <v>1</v>
      </c>
      <c r="D36" s="11">
        <v>1</v>
      </c>
      <c r="E36" s="11"/>
      <c r="F36" s="11"/>
      <c r="G36" s="11"/>
      <c r="H36" s="11"/>
      <c r="I36" s="11"/>
      <c r="J36" s="11"/>
      <c r="K36" s="11"/>
      <c r="L36" s="11"/>
      <c r="M36" s="11"/>
    </row>
    <row r="37" spans="2:13">
      <c r="B37" s="29" t="s">
        <v>181</v>
      </c>
      <c r="C37" s="11">
        <v>1</v>
      </c>
      <c r="D37" s="11">
        <v>1</v>
      </c>
      <c r="E37" s="11"/>
      <c r="F37" s="11"/>
      <c r="G37" s="11"/>
      <c r="H37" s="11"/>
      <c r="I37" s="11"/>
      <c r="J37" s="11"/>
      <c r="K37" s="11"/>
      <c r="L37" s="11"/>
      <c r="M37" s="11"/>
    </row>
    <row r="38" spans="2:13">
      <c r="B38" s="29" t="s">
        <v>186</v>
      </c>
      <c r="C38" s="11">
        <v>1</v>
      </c>
      <c r="D38" s="11">
        <v>1</v>
      </c>
      <c r="E38" s="11">
        <v>1</v>
      </c>
      <c r="F38" s="11">
        <v>1</v>
      </c>
      <c r="G38" s="11">
        <v>1</v>
      </c>
      <c r="H38" s="11">
        <v>1</v>
      </c>
      <c r="I38" s="11">
        <v>1</v>
      </c>
      <c r="J38" s="11">
        <v>1</v>
      </c>
      <c r="K38" s="11">
        <v>1</v>
      </c>
      <c r="L38" s="11">
        <v>1</v>
      </c>
      <c r="M38" s="11">
        <v>1</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3c3b42a-b419-44b0-bb3a-54c7a1f7159e">
      <UserInfo>
        <DisplayName>Ally, Jean</DisplayName>
        <AccountId>278</AccountId>
        <AccountType/>
      </UserInfo>
      <UserInfo>
        <DisplayName>Marie, Cynthia D.</DisplayName>
        <AccountId>819</AccountId>
        <AccountType/>
      </UserInfo>
      <UserInfo>
        <DisplayName>Robbe, Maxime A.</DisplayName>
        <AccountId>1299</AccountId>
        <AccountType/>
      </UserInfo>
      <UserInfo>
        <DisplayName>Siriduth, Vishal</DisplayName>
        <AccountId>2237</AccountId>
        <AccountType/>
      </UserInfo>
      <UserInfo>
        <DisplayName>Motah, Reeten</DisplayName>
        <AccountId>3904</AccountId>
        <AccountType/>
      </UserInfo>
      <UserInfo>
        <DisplayName>Moosoohur, Vashish</DisplayName>
        <AccountId>163</AccountId>
        <AccountType/>
      </UserInfo>
      <UserInfo>
        <DisplayName>Madhoo, Bishan Kumar</DisplayName>
        <AccountId>5877</AccountId>
        <AccountType/>
      </UserInfo>
      <UserInfo>
        <DisplayName>Tokee, Taweeda</DisplayName>
        <AccountId>5878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62FF70563571C4B8E267B9FC87F4C87" ma:contentTypeVersion="4" ma:contentTypeDescription="Create a new document." ma:contentTypeScope="" ma:versionID="8f84f445790cf8702ed64bd34fd7dae6">
  <xsd:schema xmlns:xsd="http://www.w3.org/2001/XMLSchema" xmlns:xs="http://www.w3.org/2001/XMLSchema" xmlns:p="http://schemas.microsoft.com/office/2006/metadata/properties" xmlns:ns2="2d46ae62-886f-4270-a9af-a115fe3a8900" xmlns:ns3="d3c3b42a-b419-44b0-bb3a-54c7a1f7159e" targetNamespace="http://schemas.microsoft.com/office/2006/metadata/properties" ma:root="true" ma:fieldsID="f203fe749b56a2b6b9a2790779bcf94d" ns2:_="" ns3:_="">
    <xsd:import namespace="2d46ae62-886f-4270-a9af-a115fe3a8900"/>
    <xsd:import namespace="d3c3b42a-b419-44b0-bb3a-54c7a1f7159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46ae62-886f-4270-a9af-a115fe3a890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3c3b42a-b419-44b0-bb3a-54c7a1f7159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01212BF-6BD9-49DE-A668-51DF168AA41D}">
  <ds:schemaRefs>
    <ds:schemaRef ds:uri="http://schemas.microsoft.com/office/2006/metadata/properties"/>
    <ds:schemaRef ds:uri="http://schemas.microsoft.com/office/infopath/2007/PartnerControls"/>
    <ds:schemaRef ds:uri="d3c3b42a-b419-44b0-bb3a-54c7a1f7159e"/>
  </ds:schemaRefs>
</ds:datastoreItem>
</file>

<file path=customXml/itemProps2.xml><?xml version="1.0" encoding="utf-8"?>
<ds:datastoreItem xmlns:ds="http://schemas.openxmlformats.org/officeDocument/2006/customXml" ds:itemID="{254E7AA2-B9E9-413E-99BA-88A99263FA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46ae62-886f-4270-a9af-a115fe3a8900"/>
    <ds:schemaRef ds:uri="d3c3b42a-b419-44b0-bb3a-54c7a1f715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0D39B24-92BD-429B-9A02-00549205BF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Opera Levers_Mapped with Assets</vt:lpstr>
      <vt:lpstr>Asset_MasterList-Revised</vt:lpstr>
      <vt:lpstr>Asset_MasterList</vt:lpstr>
      <vt:lpstr>Category</vt:lpstr>
      <vt:lpstr>Assets</vt:lpstr>
      <vt:lpstr>PCS_Details</vt:lpstr>
      <vt:lpstr>ADT_Details</vt:lpstr>
      <vt:lpstr>Link</vt:lpstr>
      <vt:lpstr>ADT Sheet2</vt:lpstr>
      <vt:lpstr>Master List Baseline</vt:lpstr>
      <vt:lpstr>JIRA_Options</vt:lpstr>
      <vt:lpstr>Asset_MasterList (2)</vt:lpstr>
      <vt:lpstr>Model</vt:lpstr>
      <vt:lpstr>MAPPING</vt:lpstr>
      <vt:lpstr>Conf</vt:lpstr>
      <vt:lpstr>Model!Criteria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Zanchi, Matteo</dc:creator>
  <cp:keywords/>
  <dc:description/>
  <cp:lastModifiedBy>Foo, Lester Shi En</cp:lastModifiedBy>
  <cp:revision/>
  <dcterms:created xsi:type="dcterms:W3CDTF">2020-06-15T06:14:49Z</dcterms:created>
  <dcterms:modified xsi:type="dcterms:W3CDTF">2022-03-15T09:33:09Z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0x010100562FF70563571C4B8E267B9FC87F4C87</vt:lpwstr>
  </property>
</Properties>
</file>